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xpertisetec-my.sharepoint.com/personal/davi_expertise_tec_br/Documents/Documentos/APPS/FADE MON X/"/>
    </mc:Choice>
  </mc:AlternateContent>
  <xr:revisionPtr revIDLastSave="481" documentId="11_9D75C95FFD55A2C9A3700D10BE78F56C213A2458" xr6:coauthVersionLast="47" xr6:coauthVersionMax="47" xr10:uidLastSave="{D1C5C4D1-13E8-4FEF-B19A-0D1921575716}"/>
  <bookViews>
    <workbookView xWindow="-120" yWindow="-120" windowWidth="29040" windowHeight="15720" xr2:uid="{00000000-000D-0000-FFFF-FFFF00000000}"/>
  </bookViews>
  <sheets>
    <sheet name="M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1" l="1"/>
  <c r="P99" i="1"/>
  <c r="Q229" i="1"/>
  <c r="Q228" i="1"/>
  <c r="Q227" i="1"/>
  <c r="P131" i="1"/>
  <c r="O131" i="1"/>
  <c r="P11" i="1"/>
  <c r="O11" i="1"/>
  <c r="Q11" i="1" s="1"/>
  <c r="P10" i="1"/>
  <c r="O10" i="1"/>
  <c r="Q10" i="1" s="1"/>
  <c r="P9" i="1"/>
  <c r="O9" i="1"/>
  <c r="Q9" i="1" s="1"/>
  <c r="P75" i="1"/>
  <c r="O75" i="1"/>
  <c r="Q75" i="1" s="1"/>
  <c r="P98" i="1"/>
  <c r="O98" i="1"/>
  <c r="Q98" i="1" s="1"/>
  <c r="P97" i="1"/>
  <c r="O97" i="1"/>
  <c r="Q97" i="1" s="1"/>
  <c r="P67" i="1"/>
  <c r="O67" i="1"/>
  <c r="P66" i="1"/>
  <c r="O66" i="1"/>
  <c r="P65" i="1"/>
  <c r="O65" i="1"/>
  <c r="P44" i="1"/>
  <c r="O44" i="1"/>
  <c r="P43" i="1"/>
  <c r="O43" i="1"/>
  <c r="P13" i="1"/>
  <c r="O13" i="1"/>
  <c r="P12" i="1"/>
  <c r="O12" i="1"/>
  <c r="P25" i="1"/>
  <c r="O25" i="1"/>
  <c r="P24" i="1"/>
  <c r="O24" i="1"/>
  <c r="P196" i="1"/>
  <c r="O196" i="1"/>
  <c r="P195" i="1"/>
  <c r="O195" i="1"/>
  <c r="P197" i="1"/>
  <c r="O197" i="1"/>
  <c r="P139" i="1"/>
  <c r="O139" i="1"/>
  <c r="P54" i="1"/>
  <c r="O54" i="1"/>
  <c r="P27" i="1"/>
  <c r="O27" i="1"/>
  <c r="P154" i="1"/>
  <c r="O154" i="1"/>
  <c r="P132" i="1"/>
  <c r="O132" i="1"/>
  <c r="P159" i="1"/>
  <c r="O159" i="1"/>
  <c r="P26" i="1"/>
  <c r="O26" i="1"/>
  <c r="P198" i="1"/>
  <c r="O198" i="1"/>
  <c r="P155" i="1"/>
  <c r="O155" i="1"/>
  <c r="P133" i="1"/>
  <c r="O133" i="1"/>
  <c r="P104" i="1"/>
  <c r="O104" i="1"/>
  <c r="P153" i="1"/>
  <c r="O153" i="1"/>
  <c r="P152" i="1"/>
  <c r="O152" i="1"/>
  <c r="P103" i="1"/>
  <c r="O103" i="1"/>
  <c r="P102" i="1"/>
  <c r="O102" i="1"/>
  <c r="P72" i="1"/>
  <c r="O72" i="1"/>
  <c r="P71" i="1"/>
  <c r="O71" i="1"/>
  <c r="P17" i="1"/>
  <c r="O17" i="1"/>
  <c r="P16" i="1"/>
  <c r="O16" i="1"/>
  <c r="P15" i="1"/>
  <c r="O15" i="1"/>
  <c r="P14" i="1"/>
  <c r="O14" i="1"/>
  <c r="P74" i="1"/>
  <c r="O74" i="1"/>
  <c r="P73" i="1"/>
  <c r="O73" i="1"/>
  <c r="P37" i="1"/>
  <c r="O37" i="1"/>
  <c r="P36" i="1"/>
  <c r="O36" i="1"/>
  <c r="P35" i="1"/>
  <c r="O35" i="1"/>
  <c r="P101" i="1"/>
  <c r="O101" i="1"/>
  <c r="P100" i="1"/>
  <c r="O100" i="1"/>
  <c r="P184" i="1"/>
  <c r="O184" i="1"/>
  <c r="P183" i="1"/>
  <c r="O183" i="1"/>
  <c r="P182" i="1"/>
  <c r="O182" i="1"/>
  <c r="P93" i="1"/>
  <c r="O93" i="1"/>
  <c r="P76" i="1"/>
  <c r="O76" i="1"/>
  <c r="P46" i="1"/>
  <c r="O46" i="1"/>
  <c r="P105" i="1"/>
  <c r="O105" i="1"/>
  <c r="P206" i="1"/>
  <c r="O206" i="1"/>
  <c r="P45" i="1"/>
  <c r="O45" i="1"/>
  <c r="P185" i="1"/>
  <c r="O185" i="1"/>
  <c r="P140" i="1"/>
  <c r="O140" i="1"/>
  <c r="P116" i="1"/>
  <c r="O116" i="1"/>
  <c r="P64" i="1"/>
  <c r="O64" i="1"/>
  <c r="P146" i="1"/>
  <c r="O146" i="1"/>
  <c r="P115" i="1"/>
  <c r="O115" i="1"/>
  <c r="P114" i="1"/>
  <c r="O114" i="1"/>
  <c r="P96" i="1"/>
  <c r="O96" i="1"/>
  <c r="P95" i="1"/>
  <c r="O95" i="1"/>
  <c r="P94" i="1"/>
  <c r="O94" i="1"/>
  <c r="P211" i="1"/>
  <c r="O211" i="1"/>
  <c r="P210" i="1"/>
  <c r="O210" i="1"/>
  <c r="P124" i="1"/>
  <c r="O124" i="1"/>
  <c r="P123" i="1"/>
  <c r="O123" i="1"/>
  <c r="P128" i="1"/>
  <c r="O128" i="1"/>
  <c r="P127" i="1"/>
  <c r="O127" i="1"/>
  <c r="P126" i="1"/>
  <c r="O126" i="1"/>
  <c r="P70" i="1"/>
  <c r="O70" i="1"/>
  <c r="P69" i="1"/>
  <c r="O69" i="1"/>
  <c r="P68" i="1"/>
  <c r="O68" i="1"/>
  <c r="P8" i="1"/>
  <c r="O8" i="1"/>
  <c r="P7" i="1"/>
  <c r="O7" i="1"/>
  <c r="P6" i="1"/>
  <c r="O6" i="1"/>
  <c r="P51" i="1"/>
  <c r="O51" i="1"/>
  <c r="P50" i="1"/>
  <c r="O50" i="1"/>
  <c r="P81" i="1"/>
  <c r="O81" i="1"/>
  <c r="P80" i="1"/>
  <c r="O80" i="1"/>
  <c r="P189" i="1"/>
  <c r="O189" i="1"/>
  <c r="P188" i="1"/>
  <c r="O188" i="1"/>
  <c r="P187" i="1"/>
  <c r="O187" i="1"/>
  <c r="P136" i="1"/>
  <c r="O136" i="1"/>
  <c r="P135" i="1"/>
  <c r="O135" i="1"/>
  <c r="P134" i="1"/>
  <c r="O134" i="1"/>
  <c r="P200" i="1"/>
  <c r="O200" i="1"/>
  <c r="P199" i="1"/>
  <c r="O199" i="1"/>
  <c r="P194" i="1"/>
  <c r="O194" i="1"/>
  <c r="P193" i="1"/>
  <c r="O193" i="1"/>
  <c r="P205" i="1"/>
  <c r="O205" i="1"/>
  <c r="P204" i="1"/>
  <c r="O204" i="1"/>
  <c r="P145" i="1"/>
  <c r="O145" i="1"/>
  <c r="P144" i="1"/>
  <c r="O144" i="1"/>
  <c r="P130" i="1"/>
  <c r="O130" i="1"/>
  <c r="P129" i="1"/>
  <c r="O129" i="1"/>
  <c r="P113" i="1"/>
  <c r="O113" i="1"/>
  <c r="P112" i="1"/>
  <c r="O112" i="1"/>
  <c r="P23" i="1"/>
  <c r="O23" i="1"/>
  <c r="P22" i="1"/>
  <c r="O22" i="1"/>
  <c r="P156" i="1"/>
  <c r="O156" i="1"/>
  <c r="P33" i="1"/>
  <c r="O33" i="1"/>
  <c r="P160" i="1"/>
  <c r="O160" i="1"/>
  <c r="P169" i="1"/>
  <c r="O169" i="1"/>
  <c r="P55" i="1"/>
  <c r="O55" i="1"/>
  <c r="P162" i="1"/>
  <c r="O162" i="1"/>
  <c r="P186" i="1"/>
  <c r="O186" i="1"/>
  <c r="P84" i="1"/>
  <c r="O84" i="1"/>
  <c r="P18" i="1"/>
  <c r="O18" i="1"/>
  <c r="P170" i="1"/>
  <c r="O170" i="1"/>
  <c r="P63" i="1"/>
  <c r="O63" i="1"/>
  <c r="P62" i="1"/>
  <c r="O62" i="1"/>
  <c r="P203" i="1"/>
  <c r="O203" i="1"/>
  <c r="P202" i="1"/>
  <c r="O202" i="1"/>
  <c r="P201" i="1"/>
  <c r="O201" i="1"/>
  <c r="P149" i="1"/>
  <c r="O149" i="1"/>
  <c r="P148" i="1"/>
  <c r="O148" i="1"/>
  <c r="P147" i="1"/>
  <c r="O147" i="1"/>
  <c r="P88" i="1"/>
  <c r="O88" i="1"/>
  <c r="P87" i="1"/>
  <c r="O87" i="1"/>
  <c r="P86" i="1"/>
  <c r="O86" i="1"/>
  <c r="P61" i="1"/>
  <c r="O61" i="1"/>
  <c r="P60" i="1"/>
  <c r="O60" i="1"/>
  <c r="P59" i="1"/>
  <c r="O59" i="1"/>
  <c r="P42" i="1"/>
  <c r="O42" i="1"/>
  <c r="P41" i="1"/>
  <c r="O41" i="1"/>
  <c r="P83" i="1"/>
  <c r="O83" i="1"/>
  <c r="P82" i="1"/>
  <c r="O82" i="1"/>
  <c r="P34" i="1"/>
  <c r="O34" i="1"/>
  <c r="P214" i="1"/>
  <c r="O214" i="1"/>
  <c r="P85" i="1"/>
  <c r="O85" i="1"/>
  <c r="P125" i="1"/>
  <c r="O125" i="1"/>
  <c r="P108" i="1"/>
  <c r="O108" i="1"/>
  <c r="P107" i="1"/>
  <c r="O107" i="1"/>
  <c r="P106" i="1"/>
  <c r="O106" i="1"/>
  <c r="P165" i="1"/>
  <c r="O165" i="1"/>
  <c r="P164" i="1"/>
  <c r="O164" i="1"/>
  <c r="P163" i="1"/>
  <c r="O163" i="1"/>
  <c r="P143" i="1"/>
  <c r="O143" i="1"/>
  <c r="P142" i="1"/>
  <c r="O142" i="1"/>
  <c r="P141" i="1"/>
  <c r="O141" i="1"/>
  <c r="P122" i="1"/>
  <c r="O122" i="1"/>
  <c r="P121" i="1"/>
  <c r="O121" i="1"/>
  <c r="P120" i="1"/>
  <c r="O120" i="1"/>
  <c r="P40" i="1"/>
  <c r="O40" i="1"/>
  <c r="P39" i="1"/>
  <c r="O39" i="1"/>
  <c r="P38" i="1"/>
  <c r="O38" i="1"/>
  <c r="P21" i="1"/>
  <c r="O21" i="1"/>
  <c r="P20" i="1"/>
  <c r="O20" i="1"/>
  <c r="P19" i="1"/>
  <c r="O19" i="1"/>
  <c r="P192" i="1"/>
  <c r="O192" i="1"/>
  <c r="P191" i="1"/>
  <c r="O191" i="1"/>
  <c r="P190" i="1"/>
  <c r="O190" i="1"/>
  <c r="P58" i="1"/>
  <c r="O58" i="1"/>
  <c r="P57" i="1"/>
  <c r="O57" i="1"/>
  <c r="P56" i="1"/>
  <c r="O56" i="1"/>
  <c r="P168" i="1"/>
  <c r="O168" i="1"/>
  <c r="P167" i="1"/>
  <c r="O167" i="1"/>
  <c r="P166" i="1"/>
  <c r="O166" i="1"/>
  <c r="P119" i="1"/>
  <c r="O119" i="1"/>
  <c r="P118" i="1"/>
  <c r="O118" i="1"/>
  <c r="P117" i="1"/>
  <c r="O117" i="1"/>
  <c r="P30" i="1"/>
  <c r="O30" i="1"/>
  <c r="P29" i="1"/>
  <c r="O29" i="1"/>
  <c r="P28" i="1"/>
  <c r="O28" i="1"/>
  <c r="P213" i="1"/>
  <c r="O213" i="1"/>
  <c r="P212" i="1"/>
  <c r="O212" i="1"/>
  <c r="P92" i="1"/>
  <c r="O92" i="1"/>
  <c r="P91" i="1"/>
  <c r="O91" i="1"/>
  <c r="P90" i="1"/>
  <c r="O90" i="1"/>
  <c r="P89" i="1"/>
  <c r="O89" i="1"/>
  <c r="P138" i="1"/>
  <c r="O138" i="1"/>
  <c r="P137" i="1"/>
  <c r="O137" i="1"/>
  <c r="P53" i="1"/>
  <c r="O53" i="1"/>
  <c r="P52" i="1"/>
  <c r="O52" i="1"/>
  <c r="P32" i="1"/>
  <c r="O32" i="1"/>
  <c r="P31" i="1"/>
  <c r="O31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11" i="1"/>
  <c r="O111" i="1"/>
  <c r="P110" i="1"/>
  <c r="O110" i="1"/>
  <c r="P109" i="1"/>
  <c r="O109" i="1"/>
  <c r="P79" i="1"/>
  <c r="O79" i="1"/>
  <c r="P78" i="1"/>
  <c r="O78" i="1"/>
  <c r="P77" i="1"/>
  <c r="O77" i="1"/>
  <c r="P49" i="1"/>
  <c r="O49" i="1"/>
  <c r="P48" i="1"/>
  <c r="O48" i="1"/>
  <c r="P47" i="1"/>
  <c r="O47" i="1"/>
  <c r="P181" i="1"/>
  <c r="O181" i="1"/>
  <c r="P180" i="1"/>
  <c r="O180" i="1"/>
  <c r="P158" i="1"/>
  <c r="O158" i="1"/>
  <c r="P157" i="1"/>
  <c r="O157" i="1"/>
  <c r="P151" i="1"/>
  <c r="O151" i="1"/>
  <c r="P150" i="1"/>
  <c r="O150" i="1"/>
  <c r="P209" i="1"/>
  <c r="O209" i="1"/>
  <c r="P208" i="1"/>
  <c r="O208" i="1"/>
  <c r="P207" i="1"/>
  <c r="O207" i="1"/>
  <c r="P161" i="1"/>
  <c r="O161" i="1"/>
  <c r="Q99" i="1" l="1"/>
  <c r="Q131" i="1"/>
  <c r="Q36" i="1"/>
  <c r="Q101" i="1"/>
  <c r="Q35" i="1"/>
  <c r="Q65" i="1"/>
  <c r="Q43" i="1"/>
  <c r="Q12" i="1"/>
  <c r="Q24" i="1"/>
  <c r="Q195" i="1"/>
  <c r="Q139" i="1"/>
  <c r="Q44" i="1"/>
  <c r="Q13" i="1"/>
  <c r="Q25" i="1"/>
  <c r="Q196" i="1"/>
  <c r="Q197" i="1"/>
  <c r="Q54" i="1"/>
  <c r="Q67" i="1"/>
  <c r="Q66" i="1"/>
  <c r="Q27" i="1"/>
  <c r="Q154" i="1"/>
  <c r="Q100" i="1"/>
  <c r="Q46" i="1"/>
  <c r="Q206" i="1"/>
  <c r="Q185" i="1"/>
  <c r="Q116" i="1"/>
  <c r="Q146" i="1"/>
  <c r="Q184" i="1"/>
  <c r="Q76" i="1"/>
  <c r="Q105" i="1"/>
  <c r="Q45" i="1"/>
  <c r="Q140" i="1"/>
  <c r="Q64" i="1"/>
  <c r="Q115" i="1"/>
  <c r="Q74" i="1"/>
  <c r="Q132" i="1"/>
  <c r="Q37" i="1"/>
  <c r="Q26" i="1"/>
  <c r="Q155" i="1"/>
  <c r="Q104" i="1"/>
  <c r="Q152" i="1"/>
  <c r="Q72" i="1"/>
  <c r="Q16" i="1"/>
  <c r="Q102" i="1"/>
  <c r="Q159" i="1"/>
  <c r="Q198" i="1"/>
  <c r="Q133" i="1"/>
  <c r="Q153" i="1"/>
  <c r="Q103" i="1"/>
  <c r="Q71" i="1"/>
  <c r="Q200" i="1"/>
  <c r="Q130" i="1"/>
  <c r="Q114" i="1"/>
  <c r="Q15" i="1"/>
  <c r="Q17" i="1"/>
  <c r="Q96" i="1"/>
  <c r="Q94" i="1"/>
  <c r="Q210" i="1"/>
  <c r="Q123" i="1"/>
  <c r="Q127" i="1"/>
  <c r="Q70" i="1"/>
  <c r="Q68" i="1"/>
  <c r="Q7" i="1"/>
  <c r="Q95" i="1"/>
  <c r="Q211" i="1"/>
  <c r="Q124" i="1"/>
  <c r="Q128" i="1"/>
  <c r="Q126" i="1"/>
  <c r="Q69" i="1"/>
  <c r="Q14" i="1"/>
  <c r="Q6" i="1"/>
  <c r="Q50" i="1"/>
  <c r="Q51" i="1"/>
  <c r="Q199" i="1"/>
  <c r="Q193" i="1"/>
  <c r="Q204" i="1"/>
  <c r="Q144" i="1"/>
  <c r="Q113" i="1"/>
  <c r="Q23" i="1"/>
  <c r="Q156" i="1"/>
  <c r="Q160" i="1"/>
  <c r="Q138" i="1"/>
  <c r="Q53" i="1"/>
  <c r="Q134" i="1"/>
  <c r="Q194" i="1"/>
  <c r="Q205" i="1"/>
  <c r="Q145" i="1"/>
  <c r="Q129" i="1"/>
  <c r="Q112" i="1"/>
  <c r="Q22" i="1"/>
  <c r="Q33" i="1"/>
  <c r="Q8" i="1"/>
  <c r="Q80" i="1"/>
  <c r="Q188" i="1"/>
  <c r="Q136" i="1"/>
  <c r="Q81" i="1"/>
  <c r="Q189" i="1"/>
  <c r="Q187" i="1"/>
  <c r="Q32" i="1"/>
  <c r="Q73" i="1"/>
  <c r="Q79" i="1"/>
  <c r="Q181" i="1"/>
  <c r="Q135" i="1"/>
  <c r="Q151" i="1"/>
  <c r="Q169" i="1"/>
  <c r="Q162" i="1"/>
  <c r="Q84" i="1"/>
  <c r="Q170" i="1"/>
  <c r="Q62" i="1"/>
  <c r="Q202" i="1"/>
  <c r="Q149" i="1"/>
  <c r="Q147" i="1"/>
  <c r="Q87" i="1"/>
  <c r="Q61" i="1"/>
  <c r="Q59" i="1"/>
  <c r="Q41" i="1"/>
  <c r="Q82" i="1"/>
  <c r="Q214" i="1"/>
  <c r="Q125" i="1"/>
  <c r="Q107" i="1"/>
  <c r="Q165" i="1"/>
  <c r="Q163" i="1"/>
  <c r="Q142" i="1"/>
  <c r="Q122" i="1"/>
  <c r="Q120" i="1"/>
  <c r="Q39" i="1"/>
  <c r="Q21" i="1"/>
  <c r="Q19" i="1"/>
  <c r="Q191" i="1"/>
  <c r="Q58" i="1"/>
  <c r="Q56" i="1"/>
  <c r="Q167" i="1"/>
  <c r="Q119" i="1"/>
  <c r="Q117" i="1"/>
  <c r="Q29" i="1"/>
  <c r="Q213" i="1"/>
  <c r="Q92" i="1"/>
  <c r="Q90" i="1"/>
  <c r="Q137" i="1"/>
  <c r="Q31" i="1"/>
  <c r="Q178" i="1"/>
  <c r="Q176" i="1"/>
  <c r="Q174" i="1"/>
  <c r="Q172" i="1"/>
  <c r="Q111" i="1"/>
  <c r="Q109" i="1"/>
  <c r="Q77" i="1"/>
  <c r="Q48" i="1"/>
  <c r="Q180" i="1"/>
  <c r="Q209" i="1"/>
  <c r="Q207" i="1"/>
  <c r="Q182" i="1"/>
  <c r="Q55" i="1"/>
  <c r="Q186" i="1"/>
  <c r="Q18" i="1"/>
  <c r="Q63" i="1"/>
  <c r="Q203" i="1"/>
  <c r="Q201" i="1"/>
  <c r="Q148" i="1"/>
  <c r="Q88" i="1"/>
  <c r="Q86" i="1"/>
  <c r="Q60" i="1"/>
  <c r="Q42" i="1"/>
  <c r="Q83" i="1"/>
  <c r="Q34" i="1"/>
  <c r="Q85" i="1"/>
  <c r="Q108" i="1"/>
  <c r="Q106" i="1"/>
  <c r="Q164" i="1"/>
  <c r="Q143" i="1"/>
  <c r="Q141" i="1"/>
  <c r="Q121" i="1"/>
  <c r="Q40" i="1"/>
  <c r="Q38" i="1"/>
  <c r="Q20" i="1"/>
  <c r="Q192" i="1"/>
  <c r="Q57" i="1"/>
  <c r="Q168" i="1"/>
  <c r="Q166" i="1"/>
  <c r="Q118" i="1"/>
  <c r="Q30" i="1"/>
  <c r="Q28" i="1"/>
  <c r="Q212" i="1"/>
  <c r="Q91" i="1"/>
  <c r="Q89" i="1"/>
  <c r="Q52" i="1"/>
  <c r="Q179" i="1"/>
  <c r="Q177" i="1"/>
  <c r="Q175" i="1"/>
  <c r="Q173" i="1"/>
  <c r="Q171" i="1"/>
  <c r="Q110" i="1"/>
  <c r="Q78" i="1"/>
  <c r="Q49" i="1"/>
  <c r="Q47" i="1"/>
  <c r="Q158" i="1"/>
  <c r="Q157" i="1"/>
  <c r="Q150" i="1"/>
  <c r="Q208" i="1"/>
  <c r="Q161" i="1"/>
  <c r="Q183" i="1"/>
  <c r="Q93" i="1"/>
  <c r="Q190" i="1"/>
</calcChain>
</file>

<file path=xl/sharedStrings.xml><?xml version="1.0" encoding="utf-8"?>
<sst xmlns="http://schemas.openxmlformats.org/spreadsheetml/2006/main" count="1786" uniqueCount="460">
  <si>
    <t>FADE MON X — Catálogo de Mons</t>
  </si>
  <si>
    <t>ID do Mon</t>
  </si>
  <si>
    <t>Nome do Mon</t>
  </si>
  <si>
    <t>Tipo elementar</t>
  </si>
  <si>
    <t>Raridade</t>
  </si>
  <si>
    <t>Valor na loja</t>
  </si>
  <si>
    <t>Estágio</t>
  </si>
  <si>
    <t>Patente (©)</t>
  </si>
  <si>
    <t>Ataque (nível 1)</t>
  </si>
  <si>
    <t>Aumento de ataq. por nível</t>
  </si>
  <si>
    <t>HP (nível 1)</t>
  </si>
  <si>
    <t>Aumento de HP por nível</t>
  </si>
  <si>
    <t>Velocidade (nível 1)</t>
  </si>
  <si>
    <t>Aumento de vel. por nível</t>
  </si>
  <si>
    <t>Ataque (nível 100)</t>
  </si>
  <si>
    <t>Vida (nível 100)</t>
  </si>
  <si>
    <t>Média (Ataque × 10 + Vida)</t>
  </si>
  <si>
    <t>164</t>
  </si>
  <si>
    <t>Sableye</t>
  </si>
  <si>
    <t>Escuridão</t>
  </si>
  <si>
    <t>Raro</t>
  </si>
  <si>
    <t>¥ 750</t>
  </si>
  <si>
    <t>Básico</t>
  </si>
  <si>
    <t>Sim (©)</t>
  </si>
  <si>
    <t>214</t>
  </si>
  <si>
    <t>Abra</t>
  </si>
  <si>
    <t>Psíquico</t>
  </si>
  <si>
    <t>Épico</t>
  </si>
  <si>
    <t>¥ 1125</t>
  </si>
  <si>
    <t>215</t>
  </si>
  <si>
    <t>Kadabra</t>
  </si>
  <si>
    <t>-</t>
  </si>
  <si>
    <t>Evolução 1</t>
  </si>
  <si>
    <t>216</t>
  </si>
  <si>
    <t>Alakazam</t>
  </si>
  <si>
    <t>Evolução 2</t>
  </si>
  <si>
    <t>153</t>
  </si>
  <si>
    <t>Sussurim</t>
  </si>
  <si>
    <t>Comum</t>
  </si>
  <si>
    <t>¥ 300</t>
  </si>
  <si>
    <t>Não</t>
  </si>
  <si>
    <t>154</t>
  </si>
  <si>
    <t>Assombrion</t>
  </si>
  <si>
    <t>160</t>
  </si>
  <si>
    <t>Trapiu</t>
  </si>
  <si>
    <t>161</t>
  </si>
  <si>
    <t>Mantalma</t>
  </si>
  <si>
    <t>186</t>
  </si>
  <si>
    <t>Escamyr</t>
  </si>
  <si>
    <t>Dragão</t>
  </si>
  <si>
    <t>187</t>
  </si>
  <si>
    <t>Escamarca</t>
  </si>
  <si>
    <t>043</t>
  </si>
  <si>
    <t>Gotilho</t>
  </si>
  <si>
    <t>Água</t>
  </si>
  <si>
    <t>¥ 500</t>
  </si>
  <si>
    <t>044</t>
  </si>
  <si>
    <t>Gotrilas</t>
  </si>
  <si>
    <t>045</t>
  </si>
  <si>
    <t>Hidrogálio</t>
  </si>
  <si>
    <t>074</t>
  </si>
  <si>
    <t>Fagulino</t>
  </si>
  <si>
    <t>Fogo</t>
  </si>
  <si>
    <t>075</t>
  </si>
  <si>
    <t>Faguraz</t>
  </si>
  <si>
    <t>076</t>
  </si>
  <si>
    <t>Furagante</t>
  </si>
  <si>
    <t>107</t>
  </si>
  <si>
    <t>Brotico</t>
  </si>
  <si>
    <t>Planta</t>
  </si>
  <si>
    <t>108</t>
  </si>
  <si>
    <t>Ramaflor</t>
  </si>
  <si>
    <t>109</t>
  </si>
  <si>
    <t>Florastelo</t>
  </si>
  <si>
    <t>177</t>
  </si>
  <si>
    <t>Dreepy</t>
  </si>
  <si>
    <t>178</t>
  </si>
  <si>
    <t>Drakloak</t>
  </si>
  <si>
    <t>179</t>
  </si>
  <si>
    <t>Dragapult</t>
  </si>
  <si>
    <t>180</t>
  </si>
  <si>
    <t>Bagon</t>
  </si>
  <si>
    <t>181</t>
  </si>
  <si>
    <t>Shelgon</t>
  </si>
  <si>
    <t>182</t>
  </si>
  <si>
    <t>Salamence</t>
  </si>
  <si>
    <t>183</t>
  </si>
  <si>
    <t>Gible</t>
  </si>
  <si>
    <t>184</t>
  </si>
  <si>
    <t>Gabite</t>
  </si>
  <si>
    <t>185</t>
  </si>
  <si>
    <t>Garchomp</t>
  </si>
  <si>
    <t>026</t>
  </si>
  <si>
    <t>Voltorb</t>
  </si>
  <si>
    <t>Elétrico</t>
  </si>
  <si>
    <t>027</t>
  </si>
  <si>
    <t>Electrode</t>
  </si>
  <si>
    <t>048</t>
  </si>
  <si>
    <t>Borbulim</t>
  </si>
  <si>
    <t>049</t>
  </si>
  <si>
    <t>Borbalume</t>
  </si>
  <si>
    <t>136</t>
  </si>
  <si>
    <t>Togetic</t>
  </si>
  <si>
    <t>Angelical</t>
  </si>
  <si>
    <t>137</t>
  </si>
  <si>
    <t>Togekiss</t>
  </si>
  <si>
    <t>086</t>
  </si>
  <si>
    <t>Vulpix</t>
  </si>
  <si>
    <t>087</t>
  </si>
  <si>
    <t>Ninetales</t>
  </si>
  <si>
    <t>088</t>
  </si>
  <si>
    <t>Growlithe</t>
  </si>
  <si>
    <t>089</t>
  </si>
  <si>
    <t>Arcanine</t>
  </si>
  <si>
    <t>219</t>
  </si>
  <si>
    <t>Drowzee</t>
  </si>
  <si>
    <t>220</t>
  </si>
  <si>
    <t>Hypno</t>
  </si>
  <si>
    <t>023</t>
  </si>
  <si>
    <t>Shinx</t>
  </si>
  <si>
    <t>024</t>
  </si>
  <si>
    <t>Luxio</t>
  </si>
  <si>
    <t>025</t>
  </si>
  <si>
    <t>Luxray</t>
  </si>
  <si>
    <t>115</t>
  </si>
  <si>
    <t>Bulbassaur</t>
  </si>
  <si>
    <t>116</t>
  </si>
  <si>
    <t>Ivyssaur</t>
  </si>
  <si>
    <t>117</t>
  </si>
  <si>
    <t>Venusar</t>
  </si>
  <si>
    <t>169</t>
  </si>
  <si>
    <t>Larvitar</t>
  </si>
  <si>
    <t>170</t>
  </si>
  <si>
    <t>Pupitar</t>
  </si>
  <si>
    <t>171</t>
  </si>
  <si>
    <t>Tyranitar</t>
  </si>
  <si>
    <t>052</t>
  </si>
  <si>
    <t>Mudkip</t>
  </si>
  <si>
    <t>053</t>
  </si>
  <si>
    <t>Marshtomp</t>
  </si>
  <si>
    <t>054</t>
  </si>
  <si>
    <t>Swampert</t>
  </si>
  <si>
    <t>197</t>
  </si>
  <si>
    <t>Onilo</t>
  </si>
  <si>
    <t>198</t>
  </si>
  <si>
    <t>Onirante</t>
  </si>
  <si>
    <t>199</t>
  </si>
  <si>
    <t>Oniráculo</t>
  </si>
  <si>
    <t>014</t>
  </si>
  <si>
    <t>Faíxim</t>
  </si>
  <si>
    <t>015</t>
  </si>
  <si>
    <t>Faíscor</t>
  </si>
  <si>
    <t>016</t>
  </si>
  <si>
    <t>Fulgoraz</t>
  </si>
  <si>
    <t>034</t>
  </si>
  <si>
    <t>Bolhote</t>
  </si>
  <si>
    <t>¥ 200</t>
  </si>
  <si>
    <t>035</t>
  </si>
  <si>
    <t>Bolhardo</t>
  </si>
  <si>
    <t>036</t>
  </si>
  <si>
    <t>Espumara</t>
  </si>
  <si>
    <t>118</t>
  </si>
  <si>
    <t>Treecko</t>
  </si>
  <si>
    <t>119</t>
  </si>
  <si>
    <t>Grovyle</t>
  </si>
  <si>
    <t>120</t>
  </si>
  <si>
    <t>Sceptile</t>
  </si>
  <si>
    <t>140</t>
  </si>
  <si>
    <t>Ralts</t>
  </si>
  <si>
    <t>141</t>
  </si>
  <si>
    <t>Kirlia</t>
  </si>
  <si>
    <t>142</t>
  </si>
  <si>
    <t>Gardevoir</t>
  </si>
  <si>
    <t>166</t>
  </si>
  <si>
    <t>Gastly</t>
  </si>
  <si>
    <t>167</t>
  </si>
  <si>
    <t>Haunter</t>
  </si>
  <si>
    <t>168</t>
  </si>
  <si>
    <t>Gengar</t>
  </si>
  <si>
    <t>104</t>
  </si>
  <si>
    <t>Cipolino</t>
  </si>
  <si>
    <t>105</t>
  </si>
  <si>
    <t>Ciporama</t>
  </si>
  <si>
    <t>106</t>
  </si>
  <si>
    <t>Selvarama</t>
  </si>
  <si>
    <t>123</t>
  </si>
  <si>
    <t>Raizelo</t>
  </si>
  <si>
    <t>082</t>
  </si>
  <si>
    <t>Torcoal</t>
  </si>
  <si>
    <t>221</t>
  </si>
  <si>
    <t>Espeon</t>
  </si>
  <si>
    <t>029</t>
  </si>
  <si>
    <t>Raijuba</t>
  </si>
  <si>
    <t>079</t>
  </si>
  <si>
    <t>Darumaka</t>
  </si>
  <si>
    <t>080</t>
  </si>
  <si>
    <t>Darmanitan</t>
  </si>
  <si>
    <t>037</t>
  </si>
  <si>
    <t>Nadim</t>
  </si>
  <si>
    <t>038</t>
  </si>
  <si>
    <t>Nadastro</t>
  </si>
  <si>
    <t>055</t>
  </si>
  <si>
    <t>Squirtle</t>
  </si>
  <si>
    <t>056</t>
  </si>
  <si>
    <t>Wartortle</t>
  </si>
  <si>
    <t>057</t>
  </si>
  <si>
    <t>Blastoise</t>
  </si>
  <si>
    <t>083</t>
  </si>
  <si>
    <t>Charmander</t>
  </si>
  <si>
    <t>084</t>
  </si>
  <si>
    <t>Charmeleon</t>
  </si>
  <si>
    <t>085</t>
  </si>
  <si>
    <t>Charizard</t>
  </si>
  <si>
    <t>150</t>
  </si>
  <si>
    <t>Velúmen</t>
  </si>
  <si>
    <t>151</t>
  </si>
  <si>
    <t>Candeluto</t>
  </si>
  <si>
    <t>152</t>
  </si>
  <si>
    <t>Luminúmbra</t>
  </si>
  <si>
    <t>208</t>
  </si>
  <si>
    <t>Duskull</t>
  </si>
  <si>
    <t>209</t>
  </si>
  <si>
    <t>Dusclops</t>
  </si>
  <si>
    <t>210</t>
  </si>
  <si>
    <t>Dusknoir</t>
  </si>
  <si>
    <t>058</t>
  </si>
  <si>
    <t>Magikarp</t>
  </si>
  <si>
    <t>059</t>
  </si>
  <si>
    <t>Gyrados</t>
  </si>
  <si>
    <t>173</t>
  </si>
  <si>
    <t>Flutter Mane</t>
  </si>
  <si>
    <t>013</t>
  </si>
  <si>
    <t>Ampeluz</t>
  </si>
  <si>
    <t>081</t>
  </si>
  <si>
    <t>Fervisco</t>
  </si>
  <si>
    <t>192</t>
  </si>
  <si>
    <t>Asteragon</t>
  </si>
  <si>
    <t>165</t>
  </si>
  <si>
    <t>Lunavelo</t>
  </si>
  <si>
    <t>051</t>
  </si>
  <si>
    <t>Ondrilo</t>
  </si>
  <si>
    <t>172</t>
  </si>
  <si>
    <t>Darkrai</t>
  </si>
  <si>
    <t>163</t>
  </si>
  <si>
    <t>Sepurim</t>
  </si>
  <si>
    <t>028</t>
  </si>
  <si>
    <t>Centelino</t>
  </si>
  <si>
    <t>159</t>
  </si>
  <si>
    <t>Bombirdier</t>
  </si>
  <si>
    <t>017</t>
  </si>
  <si>
    <t>Amperu</t>
  </si>
  <si>
    <t>018</t>
  </si>
  <si>
    <t>Amperalto</t>
  </si>
  <si>
    <t>110</t>
  </si>
  <si>
    <t>Cactim</t>
  </si>
  <si>
    <t>111</t>
  </si>
  <si>
    <t>Cacturion</t>
  </si>
  <si>
    <t>128</t>
  </si>
  <si>
    <t>Querubes</t>
  </si>
  <si>
    <t>129</t>
  </si>
  <si>
    <t>Querubélio</t>
  </si>
  <si>
    <t>143</t>
  </si>
  <si>
    <t>Celumi</t>
  </si>
  <si>
    <t>144</t>
  </si>
  <si>
    <t>Celestárion</t>
  </si>
  <si>
    <t>211</t>
  </si>
  <si>
    <t>Wynaut</t>
  </si>
  <si>
    <t>212</t>
  </si>
  <si>
    <t>Wobuffet</t>
  </si>
  <si>
    <t>200</t>
  </si>
  <si>
    <t>Nébulin</t>
  </si>
  <si>
    <t>201</t>
  </si>
  <si>
    <t>Nebulígio</t>
  </si>
  <si>
    <t>206</t>
  </si>
  <si>
    <t>Natu</t>
  </si>
  <si>
    <t>207</t>
  </si>
  <si>
    <t>Xatu</t>
  </si>
  <si>
    <t>133</t>
  </si>
  <si>
    <t>Aureluz</t>
  </si>
  <si>
    <t>134</t>
  </si>
  <si>
    <t>Auréolon</t>
  </si>
  <si>
    <t>135</t>
  </si>
  <si>
    <t>Empíreus</t>
  </si>
  <si>
    <t>194</t>
  </si>
  <si>
    <t>Mentim</t>
  </si>
  <si>
    <t>195</t>
  </si>
  <si>
    <t>Mentírio</t>
  </si>
  <si>
    <t>196</t>
  </si>
  <si>
    <t>Oramentis</t>
  </si>
  <si>
    <t>077</t>
  </si>
  <si>
    <t>Chamito</t>
  </si>
  <si>
    <t>078</t>
  </si>
  <si>
    <t>Chamarro</t>
  </si>
  <si>
    <t>046</t>
  </si>
  <si>
    <t>Coralito</t>
  </si>
  <si>
    <t>047</t>
  </si>
  <si>
    <t>Coralume</t>
  </si>
  <si>
    <t>001</t>
  </si>
  <si>
    <t>Zinzap</t>
  </si>
  <si>
    <t>002</t>
  </si>
  <si>
    <t>Zaptouro</t>
  </si>
  <si>
    <t>003</t>
  </si>
  <si>
    <t>Raiotauro</t>
  </si>
  <si>
    <t>065</t>
  </si>
  <si>
    <t>Carvito</t>
  </si>
  <si>
    <t>066</t>
  </si>
  <si>
    <t>Carvulcão</t>
  </si>
  <si>
    <t>067</t>
  </si>
  <si>
    <t>Magmabrasa</t>
  </si>
  <si>
    <t>125</t>
  </si>
  <si>
    <t>Serafiz</t>
  </si>
  <si>
    <t>126</t>
  </si>
  <si>
    <t>Seraflume</t>
  </si>
  <si>
    <t>127</t>
  </si>
  <si>
    <t>Serafáureo</t>
  </si>
  <si>
    <t>121</t>
  </si>
  <si>
    <t>Eevee</t>
  </si>
  <si>
    <t>122</t>
  </si>
  <si>
    <t>Leafon</t>
  </si>
  <si>
    <t>217</t>
  </si>
  <si>
    <t>Misdreavus</t>
  </si>
  <si>
    <t>218</t>
  </si>
  <si>
    <t>Mismagius</t>
  </si>
  <si>
    <t>092</t>
  </si>
  <si>
    <t>Caterpie</t>
  </si>
  <si>
    <t>093</t>
  </si>
  <si>
    <t>Metapod</t>
  </si>
  <si>
    <t>094</t>
  </si>
  <si>
    <t>Butterfree</t>
  </si>
  <si>
    <t>112</t>
  </si>
  <si>
    <t>Trevinho</t>
  </si>
  <si>
    <t>113</t>
  </si>
  <si>
    <t>Trevárvore</t>
  </si>
  <si>
    <t>145</t>
  </si>
  <si>
    <t>Divinélio</t>
  </si>
  <si>
    <t>060</t>
  </si>
  <si>
    <t>Veluza</t>
  </si>
  <si>
    <t>114</t>
  </si>
  <si>
    <t>Lianara</t>
  </si>
  <si>
    <t>139</t>
  </si>
  <si>
    <t>Divinara</t>
  </si>
  <si>
    <t>191</t>
  </si>
  <si>
    <t>Wyrmélio</t>
  </si>
  <si>
    <t>041</t>
  </si>
  <si>
    <t>Marulino</t>
  </si>
  <si>
    <t>213</t>
  </si>
  <si>
    <t>Deoxys</t>
  </si>
  <si>
    <t>103</t>
  </si>
  <si>
    <t>Líriom</t>
  </si>
  <si>
    <t>042</t>
  </si>
  <si>
    <t>Salpisco</t>
  </si>
  <si>
    <t>073</t>
  </si>
  <si>
    <t>Solfino</t>
  </si>
  <si>
    <t>090</t>
  </si>
  <si>
    <t>Solfaro</t>
  </si>
  <si>
    <t>188</t>
  </si>
  <si>
    <t>Dratini</t>
  </si>
  <si>
    <t>189</t>
  </si>
  <si>
    <t>Dragonair</t>
  </si>
  <si>
    <t>190</t>
  </si>
  <si>
    <t>Dragonite</t>
  </si>
  <si>
    <t>098</t>
  </si>
  <si>
    <t>Camarol</t>
  </si>
  <si>
    <t>099</t>
  </si>
  <si>
    <t>Camawar</t>
  </si>
  <si>
    <t>031</t>
  </si>
  <si>
    <t>Aquapim</t>
  </si>
  <si>
    <t>032</t>
  </si>
  <si>
    <t>Aquarola</t>
  </si>
  <si>
    <t>033</t>
  </si>
  <si>
    <t>Maremundo</t>
  </si>
  <si>
    <t>070</t>
  </si>
  <si>
    <t>Pirilume</t>
  </si>
  <si>
    <t>071</t>
  </si>
  <si>
    <t>Pirofulgo</t>
  </si>
  <si>
    <t>009</t>
  </si>
  <si>
    <t>Voltisco</t>
  </si>
  <si>
    <t>010</t>
  </si>
  <si>
    <t>Voltagrão</t>
  </si>
  <si>
    <t>011</t>
  </si>
  <si>
    <t>Trovanico</t>
  </si>
  <si>
    <t>012</t>
  </si>
  <si>
    <t>Trovanox</t>
  </si>
  <si>
    <t>068</t>
  </si>
  <si>
    <t>Tostim</t>
  </si>
  <si>
    <t>069</t>
  </si>
  <si>
    <t>Tostauro</t>
  </si>
  <si>
    <t>100</t>
  </si>
  <si>
    <t>Esporim</t>
  </si>
  <si>
    <t>101</t>
  </si>
  <si>
    <t>Esporento</t>
  </si>
  <si>
    <t>155</t>
  </si>
  <si>
    <t>Sombrídeo</t>
  </si>
  <si>
    <t>156</t>
  </si>
  <si>
    <t>Sombrarca</t>
  </si>
  <si>
    <t>102</t>
  </si>
  <si>
    <t>Esporélio</t>
  </si>
  <si>
    <t>132</t>
  </si>
  <si>
    <t>Haluni</t>
  </si>
  <si>
    <t>158</t>
  </si>
  <si>
    <t>Vagaluto</t>
  </si>
  <si>
    <t>205</t>
  </si>
  <si>
    <t>Miragora</t>
  </si>
  <si>
    <t>021</t>
  </si>
  <si>
    <t>Raiomanta</t>
  </si>
  <si>
    <t>162</t>
  </si>
  <si>
    <t>Noxvelo</t>
  </si>
  <si>
    <t>131</t>
  </si>
  <si>
    <t>Aurim</t>
  </si>
  <si>
    <t>157</t>
  </si>
  <si>
    <t>Lametrix</t>
  </si>
  <si>
    <t>022</t>
  </si>
  <si>
    <t>Pachirisu</t>
  </si>
  <si>
    <t>050</t>
  </si>
  <si>
    <t>Abissélia</t>
  </si>
  <si>
    <t>138</t>
  </si>
  <si>
    <t>Firmaluz</t>
  </si>
  <si>
    <t>204</t>
  </si>
  <si>
    <t>Sonâmbrix</t>
  </si>
  <si>
    <t>202</t>
  </si>
  <si>
    <t>Mime Jr.</t>
  </si>
  <si>
    <t>203</t>
  </si>
  <si>
    <t>Mr. Mime</t>
  </si>
  <si>
    <t>019</t>
  </si>
  <si>
    <t>Blitzle</t>
  </si>
  <si>
    <t>020</t>
  </si>
  <si>
    <t>Zebstrika</t>
  </si>
  <si>
    <t>007</t>
  </si>
  <si>
    <t>Zunico</t>
  </si>
  <si>
    <t>008</t>
  </si>
  <si>
    <t>Zunitron</t>
  </si>
  <si>
    <t>039</t>
  </si>
  <si>
    <t>Brumelo</t>
  </si>
  <si>
    <t>040</t>
  </si>
  <si>
    <t>Brumaré</t>
  </si>
  <si>
    <t>062</t>
  </si>
  <si>
    <t>Brasquito</t>
  </si>
  <si>
    <t>063</t>
  </si>
  <si>
    <t>Braseon</t>
  </si>
  <si>
    <t>064</t>
  </si>
  <si>
    <t>Infernavo</t>
  </si>
  <si>
    <t>095</t>
  </si>
  <si>
    <t>Musguito</t>
  </si>
  <si>
    <t>096</t>
  </si>
  <si>
    <t>Musgardo</t>
  </si>
  <si>
    <t>097</t>
  </si>
  <si>
    <t>Bosquério</t>
  </si>
  <si>
    <t>072</t>
  </si>
  <si>
    <t>Vulcarume</t>
  </si>
  <si>
    <t>004</t>
  </si>
  <si>
    <t>Lumelétrix</t>
  </si>
  <si>
    <t>005</t>
  </si>
  <si>
    <t>Ampelume</t>
  </si>
  <si>
    <t>006</t>
  </si>
  <si>
    <t>Fulguravis</t>
  </si>
  <si>
    <t>130</t>
  </si>
  <si>
    <t>Querubalto</t>
  </si>
  <si>
    <t>Comum: 4 a 6 mil</t>
  </si>
  <si>
    <t>Raro: 5 a 7 mil</t>
  </si>
  <si>
    <t>Épico: 6 a 8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</si>
</sst>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1"/>
      <color rgb="FF253248"/>
      <name val="Arial"/>
    </font>
    <font>
      <b/>
      <sz val="16"/>
      <color rgb="FF23344D"/>
      <name val="Arial"/>
    </font>
    <font>
      <b/>
      <sz val="11"/>
      <color rgb="FFFFFFFF"/>
      <name val="Arial"/>
    </font>
    <font>
      <b/>
      <sz val="8"/>
      <color rgb="FFFFFFFF"/>
      <name val="Arial"/>
      <family val="2"/>
    </font>
    <font>
      <sz val="11"/>
      <color rgb="FF2532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344D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Mons" displayName="CatalogoMons" ref="B5:Q214" totalsRowShown="0">
  <autoFilter ref="B5:Q214" xr:uid="{00000000-0009-0000-0100-000001000000}"/>
  <sortState xmlns:xlrd2="http://schemas.microsoft.com/office/spreadsheetml/2017/richdata2" ref="B6:Q214">
    <sortCondition ref="B5:B214"/>
  </sortState>
  <tableColumns count="16">
    <tableColumn id="1" xr3:uid="{00000000-0010-0000-0000-000001000000}" name="ID do Mon"/>
    <tableColumn id="2" xr3:uid="{00000000-0010-0000-0000-000002000000}" name="Nome do Mon"/>
    <tableColumn id="3" xr3:uid="{00000000-0010-0000-0000-000003000000}" name="Tipo elementar"/>
    <tableColumn id="4" xr3:uid="{00000000-0010-0000-0000-000004000000}" name="Raridade"/>
    <tableColumn id="5" xr3:uid="{00000000-0010-0000-0000-000005000000}" name="Valor na loja"/>
    <tableColumn id="6" xr3:uid="{00000000-0010-0000-0000-000006000000}" name="Estágio"/>
    <tableColumn id="7" xr3:uid="{00000000-0010-0000-0000-000007000000}" name="Patente (©)"/>
    <tableColumn id="8" xr3:uid="{00000000-0010-0000-0000-000008000000}" name="Ataque (nível 1)"/>
    <tableColumn id="9" xr3:uid="{00000000-0010-0000-0000-000009000000}" name="Aumento de ataq. por nível"/>
    <tableColumn id="10" xr3:uid="{00000000-0010-0000-0000-00000A000000}" name="HP (nível 1)"/>
    <tableColumn id="11" xr3:uid="{00000000-0010-0000-0000-00000B000000}" name="Aumento de HP por nível"/>
    <tableColumn id="12" xr3:uid="{00000000-0010-0000-0000-00000C000000}" name="Velocidade (nível 1)"/>
    <tableColumn id="13" xr3:uid="{00000000-0010-0000-0000-00000D000000}" name="Aumento de vel. por nível"/>
    <tableColumn id="14" xr3:uid="{00000000-0010-0000-0000-00000E000000}" name="Ataque (nível 100)"/>
    <tableColumn id="15" xr3:uid="{00000000-0010-0000-0000-00000F000000}" name="Vida (nível 100)"/>
    <tableColumn id="16" xr3:uid="{00000000-0010-0000-0000-000010000000}" name="Média (Ataque × 10 + Vid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44D"/>
  </sheetPr>
  <dimension ref="B1:Q243"/>
  <sheetViews>
    <sheetView showGridLines="0" tabSelected="1" zoomScale="70" zoomScaleNormal="70" workbookViewId="0">
      <pane ySplit="5" topLeftCell="A19" activePane="bottomLeft" state="frozen"/>
      <selection pane="bottomLeft" activeCell="I46" sqref="I46"/>
    </sheetView>
  </sheetViews>
  <sheetFormatPr defaultRowHeight="14.25" x14ac:dyDescent="0.2"/>
  <cols>
    <col min="2" max="2" width="14" style="5" customWidth="1"/>
    <col min="3" max="3" width="26" style="5" customWidth="1"/>
    <col min="4" max="7" width="23" style="5" customWidth="1"/>
    <col min="8" max="8" width="20" style="5" customWidth="1"/>
    <col min="9" max="14" width="10.625" style="5" customWidth="1"/>
    <col min="15" max="17" width="23" customWidth="1"/>
  </cols>
  <sheetData>
    <row r="1" spans="2:17" ht="21.95" customHeight="1" x14ac:dyDescent="0.2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7" ht="27.95" customHeight="1" x14ac:dyDescent="0.2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 t="s">
        <v>457</v>
      </c>
      <c r="P2" s="11"/>
      <c r="Q2" s="11"/>
    </row>
    <row r="3" spans="2:17" ht="21.95" customHeight="1" x14ac:dyDescent="0.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 t="s">
        <v>458</v>
      </c>
      <c r="P3" s="11"/>
      <c r="Q3" s="11"/>
    </row>
    <row r="4" spans="2:17" ht="21.95" customHeight="1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t="s">
        <v>459</v>
      </c>
    </row>
    <row r="5" spans="2:17" ht="39.950000000000003" customHeight="1" x14ac:dyDescent="0.2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3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</row>
    <row r="6" spans="2:17" ht="21.95" customHeight="1" x14ac:dyDescent="0.2">
      <c r="B6" s="4" t="s">
        <v>297</v>
      </c>
      <c r="C6" s="4" t="s">
        <v>298</v>
      </c>
      <c r="D6" s="4" t="s">
        <v>94</v>
      </c>
      <c r="E6" s="4" t="s">
        <v>38</v>
      </c>
      <c r="F6" s="4" t="s">
        <v>156</v>
      </c>
      <c r="G6" s="4" t="s">
        <v>22</v>
      </c>
      <c r="H6" s="4" t="s">
        <v>40</v>
      </c>
      <c r="I6" s="4">
        <v>1</v>
      </c>
      <c r="J6" s="4">
        <v>1</v>
      </c>
      <c r="K6" s="4">
        <v>110</v>
      </c>
      <c r="L6" s="4">
        <v>10</v>
      </c>
      <c r="M6" s="4">
        <v>2</v>
      </c>
      <c r="N6" s="4">
        <v>1</v>
      </c>
      <c r="O6" s="9">
        <f>IF(COUNT(INDEX($I$6:$I$214,MATCH("001",$B$6:$B$214,0)),INDEX($J$6:$J$214,MATCH("001",$B$6:$B$214,0)),INDEX($J$6:$J$214,MATCH("002",$B$6:$B$214,0)),INDEX($J$6:$J$214,MATCH("003",$B$6:$B$214,0)))=4,INDEX($I$6:$I$214,MATCH("001",$B$6:$B$214,0))+14*INDEX($J$6:$J$214,MATCH("001",$B$6:$B$214,0))+15*INDEX($J$6:$J$214,MATCH("002",$B$6:$B$214,0))+70*INDEX($J$6:$J$214,MATCH("003",$B$6:$B$214,0)),"")</f>
        <v>185</v>
      </c>
      <c r="P6" s="9">
        <f>IF(COUNT(INDEX($K$6:$K$214,MATCH("001",$B$6:$B$214,0)),INDEX($L$6:$L$214,MATCH("001",$B$6:$B$214,0)),INDEX($L$6:$L$214,MATCH("002",$B$6:$B$214,0)),INDEX($L$6:$L$214,MATCH("003",$B$6:$B$214,0)))=4,INDEX($K$6:$K$214,MATCH("001",$B$6:$B$214,0))+14*INDEX($L$6:$L$214,MATCH("001",$B$6:$B$214,0))+15*INDEX($L$6:$L$214,MATCH("002",$B$6:$B$214,0))+70*INDEX($L$6:$L$214,MATCH("003",$B$6:$B$214,0)),"")</f>
        <v>3350</v>
      </c>
      <c r="Q6" s="9">
        <f>IF(COUNT(O6:P6)=2,O6*10+P6,"")</f>
        <v>5200</v>
      </c>
    </row>
    <row r="7" spans="2:17" ht="21.95" customHeight="1" x14ac:dyDescent="0.2">
      <c r="B7" s="4" t="s">
        <v>299</v>
      </c>
      <c r="C7" s="4" t="s">
        <v>300</v>
      </c>
      <c r="D7" s="4" t="s">
        <v>94</v>
      </c>
      <c r="E7" s="4" t="s">
        <v>38</v>
      </c>
      <c r="F7" s="4" t="s">
        <v>31</v>
      </c>
      <c r="G7" s="4" t="s">
        <v>32</v>
      </c>
      <c r="H7" s="4" t="s">
        <v>40</v>
      </c>
      <c r="I7" s="4" t="s">
        <v>31</v>
      </c>
      <c r="J7" s="4">
        <v>2</v>
      </c>
      <c r="K7" s="4" t="s">
        <v>31</v>
      </c>
      <c r="L7" s="4">
        <v>20</v>
      </c>
      <c r="M7" s="4" t="s">
        <v>31</v>
      </c>
      <c r="N7" s="4">
        <v>2</v>
      </c>
      <c r="O7" s="9">
        <f>IF(COUNT(INDEX($I$6:$I$214,MATCH("001",$B$6:$B$214,0)),INDEX($J$6:$J$214,MATCH("001",$B$6:$B$214,0)),INDEX($J$6:$J$214,MATCH("002",$B$6:$B$214,0)),INDEX($J$6:$J$214,MATCH("003",$B$6:$B$214,0)))=4,INDEX($I$6:$I$214,MATCH("001",$B$6:$B$214,0))+14*INDEX($J$6:$J$214,MATCH("001",$B$6:$B$214,0))+15*INDEX($J$6:$J$214,MATCH("002",$B$6:$B$214,0))+70*INDEX($J$6:$J$214,MATCH("003",$B$6:$B$214,0)),"")</f>
        <v>185</v>
      </c>
      <c r="P7" s="9">
        <f>IF(COUNT(INDEX($K$6:$K$214,MATCH("001",$B$6:$B$214,0)),INDEX($L$6:$L$214,MATCH("001",$B$6:$B$214,0)),INDEX($L$6:$L$214,MATCH("002",$B$6:$B$214,0)),INDEX($L$6:$L$214,MATCH("003",$B$6:$B$214,0)))=4,INDEX($K$6:$K$214,MATCH("001",$B$6:$B$214,0))+14*INDEX($L$6:$L$214,MATCH("001",$B$6:$B$214,0))+15*INDEX($L$6:$L$214,MATCH("002",$B$6:$B$214,0))+70*INDEX($L$6:$L$214,MATCH("003",$B$6:$B$214,0)),"")</f>
        <v>3350</v>
      </c>
      <c r="Q7" s="9">
        <f>IF(COUNT(O7:P7)=2,O7*10+P7,"")</f>
        <v>5200</v>
      </c>
    </row>
    <row r="8" spans="2:17" ht="21.95" customHeight="1" x14ac:dyDescent="0.2">
      <c r="B8" s="4" t="s">
        <v>301</v>
      </c>
      <c r="C8" s="4" t="s">
        <v>302</v>
      </c>
      <c r="D8" s="4" t="s">
        <v>94</v>
      </c>
      <c r="E8" s="4" t="s">
        <v>38</v>
      </c>
      <c r="F8" s="4" t="s">
        <v>31</v>
      </c>
      <c r="G8" s="4" t="s">
        <v>35</v>
      </c>
      <c r="H8" s="4" t="s">
        <v>40</v>
      </c>
      <c r="I8" s="4" t="s">
        <v>31</v>
      </c>
      <c r="J8" s="4">
        <v>2</v>
      </c>
      <c r="K8" s="4" t="s">
        <v>31</v>
      </c>
      <c r="L8" s="4">
        <v>40</v>
      </c>
      <c r="M8" s="4" t="s">
        <v>31</v>
      </c>
      <c r="N8" s="4">
        <v>3</v>
      </c>
      <c r="O8" s="9">
        <f>IF(COUNT(INDEX($I$6:$I$214,MATCH("001",$B$6:$B$214,0)),INDEX($J$6:$J$214,MATCH("001",$B$6:$B$214,0)),INDEX($J$6:$J$214,MATCH("002",$B$6:$B$214,0)),INDEX($J$6:$J$214,MATCH("003",$B$6:$B$214,0)))=4,INDEX($I$6:$I$214,MATCH("001",$B$6:$B$214,0))+14*INDEX($J$6:$J$214,MATCH("001",$B$6:$B$214,0))+15*INDEX($J$6:$J$214,MATCH("002",$B$6:$B$214,0))+70*INDEX($J$6:$J$214,MATCH("003",$B$6:$B$214,0)),"")</f>
        <v>185</v>
      </c>
      <c r="P8" s="9">
        <f>IF(COUNT(INDEX($K$6:$K$214,MATCH("001",$B$6:$B$214,0)),INDEX($L$6:$L$214,MATCH("001",$B$6:$B$214,0)),INDEX($L$6:$L$214,MATCH("002",$B$6:$B$214,0)),INDEX($L$6:$L$214,MATCH("003",$B$6:$B$214,0)))=4,INDEX($K$6:$K$214,MATCH("001",$B$6:$B$214,0))+14*INDEX($L$6:$L$214,MATCH("001",$B$6:$B$214,0))+15*INDEX($L$6:$L$214,MATCH("002",$B$6:$B$214,0))+70*INDEX($L$6:$L$214,MATCH("003",$B$6:$B$214,0)),"")</f>
        <v>3350</v>
      </c>
      <c r="Q8" s="9">
        <f>IF(COUNT(O8:P8)=2,O8*10+P8,"")</f>
        <v>5200</v>
      </c>
    </row>
    <row r="9" spans="2:17" ht="21.95" customHeight="1" x14ac:dyDescent="0.2">
      <c r="B9" s="4" t="s">
        <v>449</v>
      </c>
      <c r="C9" s="4" t="s">
        <v>450</v>
      </c>
      <c r="D9" s="4" t="s">
        <v>94</v>
      </c>
      <c r="E9" s="4" t="s">
        <v>38</v>
      </c>
      <c r="F9" s="4" t="s">
        <v>156</v>
      </c>
      <c r="G9" s="4" t="s">
        <v>22</v>
      </c>
      <c r="H9" s="4" t="s">
        <v>40</v>
      </c>
      <c r="I9" s="4">
        <v>2</v>
      </c>
      <c r="J9" s="4">
        <v>1</v>
      </c>
      <c r="K9" s="4">
        <v>60</v>
      </c>
      <c r="L9" s="4">
        <v>10</v>
      </c>
      <c r="M9" s="4">
        <v>9</v>
      </c>
      <c r="N9" s="4">
        <v>4</v>
      </c>
      <c r="O9" s="9">
        <f>IF(COUNT(INDEX($I$6:$I$214,MATCH("004",$B$6:$B$214,0)),INDEX($J$6:$J$214,MATCH("004",$B$6:$B$214,0)),INDEX($J$6:$J$214,MATCH("005",$B$6:$B$214,0)),INDEX($J$6:$J$214,MATCH("006",$B$6:$B$214,0)))=4,INDEX($I$6:$I$214,MATCH("004",$B$6:$B$214,0))+14*INDEX($J$6:$J$214,MATCH("004",$B$6:$B$214,0))+15*INDEX($J$6:$J$214,MATCH("005",$B$6:$B$214,0))+70*INDEX($J$6:$J$214,MATCH("006",$B$6:$B$214,0)),"")</f>
        <v>256</v>
      </c>
      <c r="P9" s="9">
        <f>IF(COUNT(INDEX($K$6:$K$214,MATCH("004",$B$6:$B$214,0)),INDEX($L$6:$L$214,MATCH("004",$B$6:$B$214,0)),INDEX($L$6:$L$214,MATCH("005",$B$6:$B$214,0)),INDEX($L$6:$L$214,MATCH("006",$B$6:$B$214,0)))=4,INDEX($K$6:$K$214,MATCH("004",$B$6:$B$214,0))+14*INDEX($L$6:$L$214,MATCH("004",$B$6:$B$214,0))+15*INDEX($L$6:$L$214,MATCH("005",$B$6:$B$214,0))+70*INDEX($L$6:$L$214,MATCH("006",$B$6:$B$214,0)),"")</f>
        <v>2600</v>
      </c>
      <c r="Q9" s="9">
        <f>IF(COUNT(O9:P9)=2,O9*10+P9,"")</f>
        <v>5160</v>
      </c>
    </row>
    <row r="10" spans="2:17" ht="21.95" customHeight="1" x14ac:dyDescent="0.2">
      <c r="B10" s="4" t="s">
        <v>451</v>
      </c>
      <c r="C10" s="4" t="s">
        <v>452</v>
      </c>
      <c r="D10" s="4" t="s">
        <v>94</v>
      </c>
      <c r="E10" s="4" t="s">
        <v>38</v>
      </c>
      <c r="F10" s="4" t="s">
        <v>31</v>
      </c>
      <c r="G10" s="4" t="s">
        <v>32</v>
      </c>
      <c r="H10" s="4" t="s">
        <v>40</v>
      </c>
      <c r="I10" s="4" t="s">
        <v>31</v>
      </c>
      <c r="J10" s="4">
        <v>2</v>
      </c>
      <c r="K10" s="4" t="s">
        <v>31</v>
      </c>
      <c r="L10" s="4">
        <v>20</v>
      </c>
      <c r="M10" s="4" t="s">
        <v>31</v>
      </c>
      <c r="N10" s="4">
        <v>5</v>
      </c>
      <c r="O10" s="9">
        <f>IF(COUNT(INDEX($I$6:$I$214,MATCH("004",$B$6:$B$214,0)),INDEX($J$6:$J$214,MATCH("004",$B$6:$B$214,0)),INDEX($J$6:$J$214,MATCH("005",$B$6:$B$214,0)),INDEX($J$6:$J$214,MATCH("006",$B$6:$B$214,0)))=4,INDEX($I$6:$I$214,MATCH("004",$B$6:$B$214,0))+14*INDEX($J$6:$J$214,MATCH("004",$B$6:$B$214,0))+15*INDEX($J$6:$J$214,MATCH("005",$B$6:$B$214,0))+70*INDEX($J$6:$J$214,MATCH("006",$B$6:$B$214,0)),"")</f>
        <v>256</v>
      </c>
      <c r="P10" s="9">
        <f>IF(COUNT(INDEX($K$6:$K$214,MATCH("004",$B$6:$B$214,0)),INDEX($L$6:$L$214,MATCH("004",$B$6:$B$214,0)),INDEX($L$6:$L$214,MATCH("005",$B$6:$B$214,0)),INDEX($L$6:$L$214,MATCH("006",$B$6:$B$214,0)))=4,INDEX($K$6:$K$214,MATCH("004",$B$6:$B$214,0))+14*INDEX($L$6:$L$214,MATCH("004",$B$6:$B$214,0))+15*INDEX($L$6:$L$214,MATCH("005",$B$6:$B$214,0))+70*INDEX($L$6:$L$214,MATCH("006",$B$6:$B$214,0)),"")</f>
        <v>2600</v>
      </c>
      <c r="Q10" s="9">
        <f>IF(COUNT(O10:P10)=2,O10*10+P10,"")</f>
        <v>5160</v>
      </c>
    </row>
    <row r="11" spans="2:17" ht="21.95" customHeight="1" x14ac:dyDescent="0.2">
      <c r="B11" s="4" t="s">
        <v>453</v>
      </c>
      <c r="C11" s="4" t="s">
        <v>454</v>
      </c>
      <c r="D11" s="4" t="s">
        <v>94</v>
      </c>
      <c r="E11" s="4" t="s">
        <v>38</v>
      </c>
      <c r="F11" s="4" t="s">
        <v>31</v>
      </c>
      <c r="G11" s="4" t="s">
        <v>35</v>
      </c>
      <c r="H11" s="4" t="s">
        <v>40</v>
      </c>
      <c r="I11" s="4" t="s">
        <v>31</v>
      </c>
      <c r="J11" s="4">
        <v>3</v>
      </c>
      <c r="K11" s="4" t="s">
        <v>31</v>
      </c>
      <c r="L11" s="4">
        <v>30</v>
      </c>
      <c r="M11" s="4" t="s">
        <v>31</v>
      </c>
      <c r="N11" s="4">
        <v>4</v>
      </c>
      <c r="O11" s="9">
        <f>IF(COUNT(INDEX($I$6:$I$214,MATCH("004",$B$6:$B$214,0)),INDEX($J$6:$J$214,MATCH("004",$B$6:$B$214,0)),INDEX($J$6:$J$214,MATCH("005",$B$6:$B$214,0)),INDEX($J$6:$J$214,MATCH("006",$B$6:$B$214,0)))=4,INDEX($I$6:$I$214,MATCH("004",$B$6:$B$214,0))+14*INDEX($J$6:$J$214,MATCH("004",$B$6:$B$214,0))+15*INDEX($J$6:$J$214,MATCH("005",$B$6:$B$214,0))+70*INDEX($J$6:$J$214,MATCH("006",$B$6:$B$214,0)),"")</f>
        <v>256</v>
      </c>
      <c r="P11" s="9">
        <f>IF(COUNT(INDEX($K$6:$K$214,MATCH("004",$B$6:$B$214,0)),INDEX($L$6:$L$214,MATCH("004",$B$6:$B$214,0)),INDEX($L$6:$L$214,MATCH("005",$B$6:$B$214,0)),INDEX($L$6:$L$214,MATCH("006",$B$6:$B$214,0)))=4,INDEX($K$6:$K$214,MATCH("004",$B$6:$B$214,0))+14*INDEX($L$6:$L$214,MATCH("004",$B$6:$B$214,0))+15*INDEX($L$6:$L$214,MATCH("005",$B$6:$B$214,0))+70*INDEX($L$6:$L$214,MATCH("006",$B$6:$B$214,0)),"")</f>
        <v>2600</v>
      </c>
      <c r="Q11" s="9">
        <f>IF(COUNT(O11:P11)=2,O11*10+P11,"")</f>
        <v>5160</v>
      </c>
    </row>
    <row r="12" spans="2:17" ht="21.95" customHeight="1" x14ac:dyDescent="0.2">
      <c r="B12" s="4" t="s">
        <v>427</v>
      </c>
      <c r="C12" s="4" t="s">
        <v>428</v>
      </c>
      <c r="D12" s="4" t="s">
        <v>94</v>
      </c>
      <c r="E12" s="4" t="s">
        <v>38</v>
      </c>
      <c r="F12" s="4" t="s">
        <v>156</v>
      </c>
      <c r="G12" s="4" t="s">
        <v>22</v>
      </c>
      <c r="H12" s="4" t="s">
        <v>40</v>
      </c>
      <c r="I12" s="4">
        <v>2</v>
      </c>
      <c r="J12" s="4">
        <v>1</v>
      </c>
      <c r="K12" s="4">
        <v>90</v>
      </c>
      <c r="L12" s="4">
        <v>20</v>
      </c>
      <c r="M12" s="4">
        <v>6</v>
      </c>
      <c r="N12" s="4">
        <v>4</v>
      </c>
      <c r="O12" s="9">
        <f>IF(COUNT(INDEX($I$6:$I$214,MATCH("007",$B$6:$B$214,0)),INDEX($J$6:$J$214,MATCH("007",$B$6:$B$214,0)),INDEX($J$6:$J$214,MATCH("008",$B$6:$B$214,0)))=3,INDEX($I$6:$I$214,MATCH("007",$B$6:$B$214,0))+14*INDEX($J$6:$J$214,MATCH("007",$B$6:$B$214,0))+15*INDEX($J$6:$J$214,MATCH("008",$B$6:$B$214,0))+70*INDEX($J$6:$J$214,MATCH("008",$B$6:$B$214,0)),"")</f>
        <v>186</v>
      </c>
      <c r="P12" s="9">
        <f>IF(COUNT(INDEX($K$6:$K$214,MATCH("007",$B$6:$B$214,0)),INDEX($L$6:$L$214,MATCH("007",$B$6:$B$214,0)),INDEX($L$6:$L$214,MATCH("008",$B$6:$B$214,0)))=3,INDEX($K$6:$K$214,MATCH("007",$B$6:$B$214,0))+14*INDEX($L$6:$L$214,MATCH("007",$B$6:$B$214,0))+15*INDEX($L$6:$L$214,MATCH("008",$B$6:$B$214,0))+70*INDEX($L$6:$L$214,MATCH("008",$B$6:$B$214,0)),"")</f>
        <v>2920</v>
      </c>
      <c r="Q12" s="9">
        <f>IF(COUNT(O12:P12)=2,O12*10+P12,"")</f>
        <v>4780</v>
      </c>
    </row>
    <row r="13" spans="2:17" ht="21.95" customHeight="1" x14ac:dyDescent="0.2">
      <c r="B13" s="4" t="s">
        <v>429</v>
      </c>
      <c r="C13" s="4" t="s">
        <v>430</v>
      </c>
      <c r="D13" s="4" t="s">
        <v>94</v>
      </c>
      <c r="E13" s="4" t="s">
        <v>38</v>
      </c>
      <c r="F13" s="4" t="s">
        <v>31</v>
      </c>
      <c r="G13" s="4" t="s">
        <v>32</v>
      </c>
      <c r="H13" s="4" t="s">
        <v>40</v>
      </c>
      <c r="I13" s="4" t="s">
        <v>31</v>
      </c>
      <c r="J13" s="4">
        <v>2</v>
      </c>
      <c r="K13" s="4" t="s">
        <v>31</v>
      </c>
      <c r="L13" s="4">
        <v>30</v>
      </c>
      <c r="M13" s="4" t="s">
        <v>31</v>
      </c>
      <c r="N13" s="4">
        <v>5</v>
      </c>
      <c r="O13" s="9">
        <f>IF(COUNT(INDEX($I$6:$I$214,MATCH("007",$B$6:$B$214,0)),INDEX($J$6:$J$214,MATCH("007",$B$6:$B$214,0)),INDEX($J$6:$J$214,MATCH("008",$B$6:$B$214,0)))=3,INDEX($I$6:$I$214,MATCH("007",$B$6:$B$214,0))+14*INDEX($J$6:$J$214,MATCH("007",$B$6:$B$214,0))+15*INDEX($J$6:$J$214,MATCH("008",$B$6:$B$214,0))+70*INDEX($J$6:$J$214,MATCH("008",$B$6:$B$214,0)),"")</f>
        <v>186</v>
      </c>
      <c r="P13" s="9">
        <f>IF(COUNT(INDEX($K$6:$K$214,MATCH("007",$B$6:$B$214,0)),INDEX($L$6:$L$214,MATCH("007",$B$6:$B$214,0)),INDEX($L$6:$L$214,MATCH("008",$B$6:$B$214,0)))=3,INDEX($K$6:$K$214,MATCH("007",$B$6:$B$214,0))+14*INDEX($L$6:$L$214,MATCH("007",$B$6:$B$214,0))+15*INDEX($L$6:$L$214,MATCH("008",$B$6:$B$214,0))+70*INDEX($L$6:$L$214,MATCH("008",$B$6:$B$214,0)),"")</f>
        <v>2920</v>
      </c>
      <c r="Q13" s="9">
        <f>IF(COUNT(O13:P13)=2,O13*10+P13,"")</f>
        <v>4780</v>
      </c>
    </row>
    <row r="14" spans="2:17" ht="21.95" customHeight="1" x14ac:dyDescent="0.2">
      <c r="B14" s="4" t="s">
        <v>375</v>
      </c>
      <c r="C14" s="4" t="s">
        <v>376</v>
      </c>
      <c r="D14" s="4" t="s">
        <v>94</v>
      </c>
      <c r="E14" s="4" t="s">
        <v>38</v>
      </c>
      <c r="F14" s="4" t="s">
        <v>156</v>
      </c>
      <c r="G14" s="4" t="s">
        <v>22</v>
      </c>
      <c r="H14" s="4" t="s">
        <v>40</v>
      </c>
      <c r="I14" s="4">
        <v>2</v>
      </c>
      <c r="J14" s="4">
        <v>1</v>
      </c>
      <c r="K14" s="4">
        <v>80</v>
      </c>
      <c r="L14" s="4">
        <v>20</v>
      </c>
      <c r="M14" s="4">
        <v>6</v>
      </c>
      <c r="N14" s="4">
        <v>2</v>
      </c>
      <c r="O14" s="9">
        <f>IF(COUNT(INDEX($I$6:$I$214,MATCH("009",$B$6:$B$214,0)),INDEX($J$6:$J$214,MATCH("009",$B$6:$B$214,0)),INDEX($J$6:$J$214,MATCH("010",$B$6:$B$214,0)))=3,INDEX($I$6:$I$214,MATCH("009",$B$6:$B$214,0))+14*INDEX($J$6:$J$214,MATCH("009",$B$6:$B$214,0))+15*INDEX($J$6:$J$214,MATCH("010",$B$6:$B$214,0))+70*INDEX($J$6:$J$214,MATCH("010",$B$6:$B$214,0)),"")</f>
        <v>186</v>
      </c>
      <c r="P14" s="9">
        <f>IF(COUNT(INDEX($K$6:$K$214,MATCH("009",$B$6:$B$214,0)),INDEX($L$6:$L$214,MATCH("009",$B$6:$B$214,0)),INDEX($L$6:$L$214,MATCH("010",$B$6:$B$214,0)))=3,INDEX($K$6:$K$214,MATCH("009",$B$6:$B$214,0))+14*INDEX($L$6:$L$214,MATCH("009",$B$6:$B$214,0))+15*INDEX($L$6:$L$214,MATCH("010",$B$6:$B$214,0))+70*INDEX($L$6:$L$214,MATCH("010",$B$6:$B$214,0)),"")</f>
        <v>3760</v>
      </c>
      <c r="Q14" s="9">
        <f>IF(COUNT(O14:P14)=2,O14*10+P14,"")</f>
        <v>5620</v>
      </c>
    </row>
    <row r="15" spans="2:17" ht="21.95" customHeight="1" x14ac:dyDescent="0.2">
      <c r="B15" s="4" t="s">
        <v>377</v>
      </c>
      <c r="C15" s="4" t="s">
        <v>378</v>
      </c>
      <c r="D15" s="4" t="s">
        <v>94</v>
      </c>
      <c r="E15" s="4" t="s">
        <v>38</v>
      </c>
      <c r="F15" s="4" t="s">
        <v>31</v>
      </c>
      <c r="G15" s="4" t="s">
        <v>32</v>
      </c>
      <c r="H15" s="4" t="s">
        <v>40</v>
      </c>
      <c r="I15" s="4" t="s">
        <v>31</v>
      </c>
      <c r="J15" s="4">
        <v>2</v>
      </c>
      <c r="K15" s="4" t="s">
        <v>31</v>
      </c>
      <c r="L15" s="4">
        <v>40</v>
      </c>
      <c r="M15" s="4" t="s">
        <v>31</v>
      </c>
      <c r="N15" s="4">
        <v>3</v>
      </c>
      <c r="O15" s="9">
        <f>IF(COUNT(INDEX($I$6:$I$214,MATCH("009",$B$6:$B$214,0)),INDEX($J$6:$J$214,MATCH("009",$B$6:$B$214,0)),INDEX($J$6:$J$214,MATCH("010",$B$6:$B$214,0)))=3,INDEX($I$6:$I$214,MATCH("009",$B$6:$B$214,0))+14*INDEX($J$6:$J$214,MATCH("009",$B$6:$B$214,0))+15*INDEX($J$6:$J$214,MATCH("010",$B$6:$B$214,0))+70*INDEX($J$6:$J$214,MATCH("010",$B$6:$B$214,0)),"")</f>
        <v>186</v>
      </c>
      <c r="P15" s="9">
        <f>IF(COUNT(INDEX($K$6:$K$214,MATCH("009",$B$6:$B$214,0)),INDEX($L$6:$L$214,MATCH("009",$B$6:$B$214,0)),INDEX($L$6:$L$214,MATCH("010",$B$6:$B$214,0)))=3,INDEX($K$6:$K$214,MATCH("009",$B$6:$B$214,0))+14*INDEX($L$6:$L$214,MATCH("009",$B$6:$B$214,0))+15*INDEX($L$6:$L$214,MATCH("010",$B$6:$B$214,0))+70*INDEX($L$6:$L$214,MATCH("010",$B$6:$B$214,0)),"")</f>
        <v>3760</v>
      </c>
      <c r="Q15" s="9">
        <f>IF(COUNT(O15:P15)=2,O15*10+P15,"")</f>
        <v>5620</v>
      </c>
    </row>
    <row r="16" spans="2:17" ht="21.95" customHeight="1" x14ac:dyDescent="0.2">
      <c r="B16" s="4" t="s">
        <v>379</v>
      </c>
      <c r="C16" s="4" t="s">
        <v>380</v>
      </c>
      <c r="D16" s="4" t="s">
        <v>94</v>
      </c>
      <c r="E16" s="4" t="s">
        <v>38</v>
      </c>
      <c r="F16" s="4" t="s">
        <v>156</v>
      </c>
      <c r="G16" s="4" t="s">
        <v>22</v>
      </c>
      <c r="H16" s="4" t="s">
        <v>40</v>
      </c>
      <c r="I16" s="4">
        <v>2</v>
      </c>
      <c r="J16" s="4">
        <v>1</v>
      </c>
      <c r="K16" s="4">
        <v>80</v>
      </c>
      <c r="L16" s="4">
        <v>20</v>
      </c>
      <c r="M16" s="4">
        <v>6</v>
      </c>
      <c r="N16" s="4">
        <v>2</v>
      </c>
      <c r="O16" s="9">
        <f>IF(COUNT(INDEX($I$6:$I$214,MATCH("011",$B$6:$B$214,0)),INDEX($J$6:$J$214,MATCH("011",$B$6:$B$214,0)),INDEX($J$6:$J$214,MATCH("012",$B$6:$B$214,0)))=3,INDEX($I$6:$I$214,MATCH("011",$B$6:$B$214,0))+14*INDEX($J$6:$J$214,MATCH("011",$B$6:$B$214,0))+15*INDEX($J$6:$J$214,MATCH("012",$B$6:$B$214,0))+70*INDEX($J$6:$J$214,MATCH("012",$B$6:$B$214,0)),"")</f>
        <v>271</v>
      </c>
      <c r="P16" s="9">
        <f>IF(COUNT(INDEX($K$6:$K$214,MATCH("011",$B$6:$B$214,0)),INDEX($L$6:$L$214,MATCH("011",$B$6:$B$214,0)),INDEX($L$6:$L$214,MATCH("012",$B$6:$B$214,0)))=3,INDEX($K$6:$K$214,MATCH("011",$B$6:$B$214,0))+14*INDEX($L$6:$L$214,MATCH("011",$B$6:$B$214,0))+15*INDEX($L$6:$L$214,MATCH("012",$B$6:$B$214,0))+70*INDEX($L$6:$L$214,MATCH("012",$B$6:$B$214,0)),"")</f>
        <v>2910</v>
      </c>
      <c r="Q16" s="9">
        <f>IF(COUNT(O16:P16)=2,O16*10+P16,"")</f>
        <v>5620</v>
      </c>
    </row>
    <row r="17" spans="2:17" ht="21.95" customHeight="1" x14ac:dyDescent="0.2">
      <c r="B17" s="4" t="s">
        <v>381</v>
      </c>
      <c r="C17" s="4" t="s">
        <v>382</v>
      </c>
      <c r="D17" s="4" t="s">
        <v>94</v>
      </c>
      <c r="E17" s="4" t="s">
        <v>38</v>
      </c>
      <c r="F17" s="4" t="s">
        <v>31</v>
      </c>
      <c r="G17" s="4" t="s">
        <v>32</v>
      </c>
      <c r="H17" s="4" t="s">
        <v>40</v>
      </c>
      <c r="I17" s="4" t="s">
        <v>31</v>
      </c>
      <c r="J17" s="4">
        <v>3</v>
      </c>
      <c r="K17" s="4" t="s">
        <v>31</v>
      </c>
      <c r="L17" s="4">
        <v>30</v>
      </c>
      <c r="M17" s="4" t="s">
        <v>31</v>
      </c>
      <c r="N17" s="4">
        <v>3</v>
      </c>
      <c r="O17" s="9">
        <f>IF(COUNT(INDEX($I$6:$I$214,MATCH("011",$B$6:$B$214,0)),INDEX($J$6:$J$214,MATCH("011",$B$6:$B$214,0)),INDEX($J$6:$J$214,MATCH("012",$B$6:$B$214,0)))=3,INDEX($I$6:$I$214,MATCH("011",$B$6:$B$214,0))+14*INDEX($J$6:$J$214,MATCH("011",$B$6:$B$214,0))+15*INDEX($J$6:$J$214,MATCH("012",$B$6:$B$214,0))+70*INDEX($J$6:$J$214,MATCH("012",$B$6:$B$214,0)),"")</f>
        <v>271</v>
      </c>
      <c r="P17" s="9">
        <f>IF(COUNT(INDEX($K$6:$K$214,MATCH("011",$B$6:$B$214,0)),INDEX($L$6:$L$214,MATCH("011",$B$6:$B$214,0)),INDEX($L$6:$L$214,MATCH("012",$B$6:$B$214,0)))=3,INDEX($K$6:$K$214,MATCH("011",$B$6:$B$214,0))+14*INDEX($L$6:$L$214,MATCH("011",$B$6:$B$214,0))+15*INDEX($L$6:$L$214,MATCH("012",$B$6:$B$214,0))+70*INDEX($L$6:$L$214,MATCH("012",$B$6:$B$214,0)),"")</f>
        <v>2910</v>
      </c>
      <c r="Q17" s="9">
        <f>IF(COUNT(O17:P17)=2,O17*10+P17,"")</f>
        <v>5620</v>
      </c>
    </row>
    <row r="18" spans="2:17" ht="21.95" customHeight="1" x14ac:dyDescent="0.2">
      <c r="B18" s="4" t="s">
        <v>231</v>
      </c>
      <c r="C18" s="4" t="s">
        <v>232</v>
      </c>
      <c r="D18" s="4" t="s">
        <v>94</v>
      </c>
      <c r="E18" s="4" t="s">
        <v>38</v>
      </c>
      <c r="F18" s="4" t="s">
        <v>156</v>
      </c>
      <c r="G18" s="4" t="s">
        <v>22</v>
      </c>
      <c r="H18" s="4" t="s">
        <v>40</v>
      </c>
      <c r="I18" s="4">
        <v>6</v>
      </c>
      <c r="J18" s="4">
        <v>2</v>
      </c>
      <c r="K18" s="4">
        <v>80</v>
      </c>
      <c r="L18" s="4">
        <v>30</v>
      </c>
      <c r="M18" s="4">
        <v>6</v>
      </c>
      <c r="N18" s="4">
        <v>3</v>
      </c>
      <c r="O18" s="9">
        <f>IF(COUNT(INDEX($I$6:$I$214,MATCH("013",$B$6:$B$214,0)),INDEX($J$6:$J$214,MATCH("013",$B$6:$B$214,0)))=2,INDEX($I$6:$I$214,MATCH("013",$B$6:$B$214,0))+14*INDEX($J$6:$J$214,MATCH("013",$B$6:$B$214,0))+15*INDEX($J$6:$J$214,MATCH("013",$B$6:$B$214,0))+70*INDEX($J$6:$J$214,MATCH("013",$B$6:$B$214,0)),"")</f>
        <v>204</v>
      </c>
      <c r="P18" s="9">
        <f>IF(COUNT(INDEX($K$6:$K$214,MATCH("013",$B$6:$B$214,0)),INDEX($L$6:$L$214,MATCH("013",$B$6:$B$214,0)))=2,INDEX($K$6:$K$214,MATCH("013",$B$6:$B$214,0))+14*INDEX($L$6:$L$214,MATCH("013",$B$6:$B$214,0))+15*INDEX($L$6:$L$214,MATCH("013",$B$6:$B$214,0))+70*INDEX($L$6:$L$214,MATCH("013",$B$6:$B$214,0)),"")</f>
        <v>3050</v>
      </c>
      <c r="Q18" s="9">
        <f>IF(COUNT(O18:P18)=2,O18*10+P18,"")</f>
        <v>5090</v>
      </c>
    </row>
    <row r="19" spans="2:17" ht="21.95" customHeight="1" x14ac:dyDescent="0.2">
      <c r="B19" s="4" t="s">
        <v>148</v>
      </c>
      <c r="C19" s="4" t="s">
        <v>149</v>
      </c>
      <c r="D19" s="4" t="s">
        <v>94</v>
      </c>
      <c r="E19" s="4" t="s">
        <v>20</v>
      </c>
      <c r="F19" s="4" t="s">
        <v>55</v>
      </c>
      <c r="G19" s="4" t="s">
        <v>22</v>
      </c>
      <c r="H19" s="4" t="s">
        <v>40</v>
      </c>
      <c r="I19" s="4">
        <v>2</v>
      </c>
      <c r="J19" s="4">
        <v>2</v>
      </c>
      <c r="K19" s="4">
        <v>80</v>
      </c>
      <c r="L19" s="4">
        <v>20</v>
      </c>
      <c r="M19" s="4">
        <v>6</v>
      </c>
      <c r="N19" s="4">
        <v>2</v>
      </c>
      <c r="O19" s="9">
        <f>IF(COUNT(INDEX($I$6:$I$214,MATCH("014",$B$6:$B$214,0)),INDEX($J$6:$J$214,MATCH("014",$B$6:$B$214,0)),INDEX($J$6:$J$214,MATCH("015",$B$6:$B$214,0)),INDEX($J$6:$J$214,MATCH("016",$B$6:$B$214,0)))=4,INDEX($I$6:$I$214,MATCH("014",$B$6:$B$214,0))+14*INDEX($J$6:$J$214,MATCH("014",$B$6:$B$214,0))+15*INDEX($J$6:$J$214,MATCH("015",$B$6:$B$214,0))+70*INDEX($J$6:$J$214,MATCH("016",$B$6:$B$214,0)),"")</f>
        <v>285</v>
      </c>
      <c r="P19" s="9">
        <f>IF(COUNT(INDEX($K$6:$K$214,MATCH("014",$B$6:$B$214,0)),INDEX($L$6:$L$214,MATCH("014",$B$6:$B$214,0)),INDEX($L$6:$L$214,MATCH("015",$B$6:$B$214,0)),INDEX($L$6:$L$214,MATCH("016",$B$6:$B$214,0)))=4,INDEX($K$6:$K$214,MATCH("014",$B$6:$B$214,0))+14*INDEX($L$6:$L$214,MATCH("014",$B$6:$B$214,0))+15*INDEX($L$6:$L$214,MATCH("015",$B$6:$B$214,0))+70*INDEX($L$6:$L$214,MATCH("016",$B$6:$B$214,0)),"")</f>
        <v>3610</v>
      </c>
      <c r="Q19" s="9">
        <f>IF(COUNT(O19:P19)=2,O19*10+P19,"")</f>
        <v>6460</v>
      </c>
    </row>
    <row r="20" spans="2:17" ht="21.95" customHeight="1" x14ac:dyDescent="0.2">
      <c r="B20" s="4" t="s">
        <v>150</v>
      </c>
      <c r="C20" s="4" t="s">
        <v>151</v>
      </c>
      <c r="D20" s="4" t="s">
        <v>94</v>
      </c>
      <c r="E20" s="4" t="s">
        <v>20</v>
      </c>
      <c r="F20" s="4" t="s">
        <v>31</v>
      </c>
      <c r="G20" s="4" t="s">
        <v>32</v>
      </c>
      <c r="H20" s="4" t="s">
        <v>40</v>
      </c>
      <c r="I20" s="4" t="s">
        <v>31</v>
      </c>
      <c r="J20" s="4">
        <v>3</v>
      </c>
      <c r="K20" s="4" t="s">
        <v>31</v>
      </c>
      <c r="L20" s="4">
        <v>30</v>
      </c>
      <c r="M20" s="4" t="s">
        <v>31</v>
      </c>
      <c r="N20" s="4">
        <v>3</v>
      </c>
      <c r="O20" s="9">
        <f>IF(COUNT(INDEX($I$6:$I$214,MATCH("014",$B$6:$B$214,0)),INDEX($J$6:$J$214,MATCH("014",$B$6:$B$214,0)),INDEX($J$6:$J$214,MATCH("015",$B$6:$B$214,0)),INDEX($J$6:$J$214,MATCH("016",$B$6:$B$214,0)))=4,INDEX($I$6:$I$214,MATCH("014",$B$6:$B$214,0))+14*INDEX($J$6:$J$214,MATCH("014",$B$6:$B$214,0))+15*INDEX($J$6:$J$214,MATCH("015",$B$6:$B$214,0))+70*INDEX($J$6:$J$214,MATCH("016",$B$6:$B$214,0)),"")</f>
        <v>285</v>
      </c>
      <c r="P20" s="9">
        <f>IF(COUNT(INDEX($K$6:$K$214,MATCH("014",$B$6:$B$214,0)),INDEX($L$6:$L$214,MATCH("014",$B$6:$B$214,0)),INDEX($L$6:$L$214,MATCH("015",$B$6:$B$214,0)),INDEX($L$6:$L$214,MATCH("016",$B$6:$B$214,0)))=4,INDEX($K$6:$K$214,MATCH("014",$B$6:$B$214,0))+14*INDEX($L$6:$L$214,MATCH("014",$B$6:$B$214,0))+15*INDEX($L$6:$L$214,MATCH("015",$B$6:$B$214,0))+70*INDEX($L$6:$L$214,MATCH("016",$B$6:$B$214,0)),"")</f>
        <v>3610</v>
      </c>
      <c r="Q20" s="9">
        <f>IF(COUNT(O20:P20)=2,O20*10+P20,"")</f>
        <v>6460</v>
      </c>
    </row>
    <row r="21" spans="2:17" ht="21.95" customHeight="1" x14ac:dyDescent="0.2">
      <c r="B21" s="4" t="s">
        <v>152</v>
      </c>
      <c r="C21" s="4" t="s">
        <v>153</v>
      </c>
      <c r="D21" s="4" t="s">
        <v>94</v>
      </c>
      <c r="E21" s="4" t="s">
        <v>20</v>
      </c>
      <c r="F21" s="4" t="s">
        <v>31</v>
      </c>
      <c r="G21" s="4" t="s">
        <v>35</v>
      </c>
      <c r="H21" s="4" t="s">
        <v>40</v>
      </c>
      <c r="I21" s="4" t="s">
        <v>31</v>
      </c>
      <c r="J21" s="4">
        <v>3</v>
      </c>
      <c r="K21" s="4" t="s">
        <v>31</v>
      </c>
      <c r="L21" s="4">
        <v>40</v>
      </c>
      <c r="M21" s="4" t="s">
        <v>31</v>
      </c>
      <c r="N21" s="4">
        <v>3</v>
      </c>
      <c r="O21" s="9">
        <f>IF(COUNT(INDEX($I$6:$I$214,MATCH("014",$B$6:$B$214,0)),INDEX($J$6:$J$214,MATCH("014",$B$6:$B$214,0)),INDEX($J$6:$J$214,MATCH("015",$B$6:$B$214,0)),INDEX($J$6:$J$214,MATCH("016",$B$6:$B$214,0)))=4,INDEX($I$6:$I$214,MATCH("014",$B$6:$B$214,0))+14*INDEX($J$6:$J$214,MATCH("014",$B$6:$B$214,0))+15*INDEX($J$6:$J$214,MATCH("015",$B$6:$B$214,0))+70*INDEX($J$6:$J$214,MATCH("016",$B$6:$B$214,0)),"")</f>
        <v>285</v>
      </c>
      <c r="P21" s="9">
        <f>IF(COUNT(INDEX($K$6:$K$214,MATCH("014",$B$6:$B$214,0)),INDEX($L$6:$L$214,MATCH("014",$B$6:$B$214,0)),INDEX($L$6:$L$214,MATCH("015",$B$6:$B$214,0)),INDEX($L$6:$L$214,MATCH("016",$B$6:$B$214,0)))=4,INDEX($K$6:$K$214,MATCH("014",$B$6:$B$214,0))+14*INDEX($L$6:$L$214,MATCH("014",$B$6:$B$214,0))+15*INDEX($L$6:$L$214,MATCH("015",$B$6:$B$214,0))+70*INDEX($L$6:$L$214,MATCH("016",$B$6:$B$214,0)),"")</f>
        <v>3610</v>
      </c>
      <c r="Q21" s="9">
        <f>IF(COUNT(O21:P21)=2,O21*10+P21,"")</f>
        <v>6460</v>
      </c>
    </row>
    <row r="22" spans="2:17" ht="21.95" customHeight="1" x14ac:dyDescent="0.2">
      <c r="B22" s="4" t="s">
        <v>249</v>
      </c>
      <c r="C22" s="4" t="s">
        <v>250</v>
      </c>
      <c r="D22" s="4" t="s">
        <v>94</v>
      </c>
      <c r="E22" s="4" t="s">
        <v>20</v>
      </c>
      <c r="F22" s="4" t="s">
        <v>55</v>
      </c>
      <c r="G22" s="4" t="s">
        <v>22</v>
      </c>
      <c r="H22" s="4" t="s">
        <v>40</v>
      </c>
      <c r="I22" s="4">
        <v>5</v>
      </c>
      <c r="J22" s="4">
        <v>4</v>
      </c>
      <c r="K22" s="4">
        <v>50</v>
      </c>
      <c r="L22" s="4">
        <v>20</v>
      </c>
      <c r="M22" s="4">
        <v>10</v>
      </c>
      <c r="N22" s="4">
        <v>5</v>
      </c>
      <c r="O22" s="9">
        <f>IF(COUNT(INDEX($I$6:$I$214,MATCH("017",$B$6:$B$214,0)),INDEX($J$6:$J$214,MATCH("017",$B$6:$B$214,0)),INDEX($J$6:$J$214,MATCH("018",$B$6:$B$214,0)))=3,INDEX($I$6:$I$214,MATCH("017",$B$6:$B$214,0))+14*INDEX($J$6:$J$214,MATCH("017",$B$6:$B$214,0))+15*INDEX($J$6:$J$214,MATCH("018",$B$6:$B$214,0))+70*INDEX($J$6:$J$214,MATCH("018",$B$6:$B$214,0)),"")</f>
        <v>486</v>
      </c>
      <c r="P22" s="9">
        <f>IF(COUNT(INDEX($K$6:$K$214,MATCH("017",$B$6:$B$214,0)),INDEX($L$6:$L$214,MATCH("017",$B$6:$B$214,0)),INDEX($L$6:$L$214,MATCH("018",$B$6:$B$214,0)))=3,INDEX($K$6:$K$214,MATCH("017",$B$6:$B$214,0))+14*INDEX($L$6:$L$214,MATCH("017",$B$6:$B$214,0))+15*INDEX($L$6:$L$214,MATCH("018",$B$6:$B$214,0))+70*INDEX($L$6:$L$214,MATCH("018",$B$6:$B$214,0)),"")</f>
        <v>2030</v>
      </c>
      <c r="Q22" s="9">
        <f>IF(COUNT(O22:P22)=2,O22*10+P22,"")</f>
        <v>6890</v>
      </c>
    </row>
    <row r="23" spans="2:17" ht="21.95" customHeight="1" x14ac:dyDescent="0.2">
      <c r="B23" s="4" t="s">
        <v>251</v>
      </c>
      <c r="C23" s="4" t="s">
        <v>252</v>
      </c>
      <c r="D23" s="4" t="s">
        <v>94</v>
      </c>
      <c r="E23" s="4" t="s">
        <v>20</v>
      </c>
      <c r="F23" s="4" t="s">
        <v>31</v>
      </c>
      <c r="G23" s="4" t="s">
        <v>32</v>
      </c>
      <c r="H23" s="4" t="s">
        <v>40</v>
      </c>
      <c r="I23" s="4" t="s">
        <v>31</v>
      </c>
      <c r="J23" s="4">
        <v>5</v>
      </c>
      <c r="K23" s="4" t="s">
        <v>31</v>
      </c>
      <c r="L23" s="4">
        <v>20</v>
      </c>
      <c r="M23" s="4" t="s">
        <v>31</v>
      </c>
      <c r="N23" s="4">
        <v>6</v>
      </c>
      <c r="O23" s="9">
        <f>IF(COUNT(INDEX($I$6:$I$214,MATCH("017",$B$6:$B$214,0)),INDEX($J$6:$J$214,MATCH("017",$B$6:$B$214,0)),INDEX($J$6:$J$214,MATCH("018",$B$6:$B$214,0)))=3,INDEX($I$6:$I$214,MATCH("017",$B$6:$B$214,0))+14*INDEX($J$6:$J$214,MATCH("017",$B$6:$B$214,0))+15*INDEX($J$6:$J$214,MATCH("018",$B$6:$B$214,0))+70*INDEX($J$6:$J$214,MATCH("018",$B$6:$B$214,0)),"")</f>
        <v>486</v>
      </c>
      <c r="P23" s="9">
        <f>IF(COUNT(INDEX($K$6:$K$214,MATCH("017",$B$6:$B$214,0)),INDEX($L$6:$L$214,MATCH("017",$B$6:$B$214,0)),INDEX($L$6:$L$214,MATCH("018",$B$6:$B$214,0)))=3,INDEX($K$6:$K$214,MATCH("017",$B$6:$B$214,0))+14*INDEX($L$6:$L$214,MATCH("017",$B$6:$B$214,0))+15*INDEX($L$6:$L$214,MATCH("018",$B$6:$B$214,0))+70*INDEX($L$6:$L$214,MATCH("018",$B$6:$B$214,0)),"")</f>
        <v>2030</v>
      </c>
      <c r="Q23" s="9">
        <f>IF(COUNT(O23:P23)=2,O23*10+P23,"")</f>
        <v>6890</v>
      </c>
    </row>
    <row r="24" spans="2:17" ht="21.95" customHeight="1" x14ac:dyDescent="0.2">
      <c r="B24" s="4" t="s">
        <v>423</v>
      </c>
      <c r="C24" s="4" t="s">
        <v>424</v>
      </c>
      <c r="D24" s="4" t="s">
        <v>94</v>
      </c>
      <c r="E24" s="4" t="s">
        <v>20</v>
      </c>
      <c r="F24" s="4" t="s">
        <v>55</v>
      </c>
      <c r="G24" s="4" t="s">
        <v>22</v>
      </c>
      <c r="H24" s="4" t="s">
        <v>23</v>
      </c>
      <c r="I24" s="4">
        <v>4</v>
      </c>
      <c r="J24" s="4">
        <v>4</v>
      </c>
      <c r="K24" s="4">
        <v>50</v>
      </c>
      <c r="L24" s="4">
        <v>10</v>
      </c>
      <c r="M24" s="4">
        <v>6</v>
      </c>
      <c r="N24" s="4">
        <v>3</v>
      </c>
      <c r="O24" s="9">
        <f>IF(COUNT(INDEX($I$6:$I$214,MATCH("019",$B$6:$B$214,0)),INDEX($J$6:$J$214,MATCH("019",$B$6:$B$214,0)),INDEX($J$6:$J$214,MATCH("020",$B$6:$B$214,0)))=3,INDEX($I$6:$I$214,MATCH("019",$B$6:$B$214,0))+14*INDEX($J$6:$J$214,MATCH("019",$B$6:$B$214,0))+15*INDEX($J$6:$J$214,MATCH("020",$B$6:$B$214,0))+70*INDEX($J$6:$J$214,MATCH("020",$B$6:$B$214,0)),"")</f>
        <v>485</v>
      </c>
      <c r="P24" s="9">
        <f>IF(COUNT(INDEX($K$6:$K$214,MATCH("019",$B$6:$B$214,0)),INDEX($L$6:$L$214,MATCH("019",$B$6:$B$214,0)),INDEX($L$6:$L$214,MATCH("020",$B$6:$B$214,0)))=3,INDEX($K$6:$K$214,MATCH("019",$B$6:$B$214,0))+14*INDEX($L$6:$L$214,MATCH("019",$B$6:$B$214,0))+15*INDEX($L$6:$L$214,MATCH("020",$B$6:$B$214,0))+70*INDEX($L$6:$L$214,MATCH("020",$B$6:$B$214,0)),"")</f>
        <v>1040</v>
      </c>
      <c r="Q24" s="9">
        <f>IF(COUNT(O24:P24)=2,O24*10+P24,"")</f>
        <v>5890</v>
      </c>
    </row>
    <row r="25" spans="2:17" ht="21.95" customHeight="1" x14ac:dyDescent="0.2">
      <c r="B25" s="4" t="s">
        <v>425</v>
      </c>
      <c r="C25" s="4" t="s">
        <v>426</v>
      </c>
      <c r="D25" s="4" t="s">
        <v>94</v>
      </c>
      <c r="E25" s="4" t="s">
        <v>20</v>
      </c>
      <c r="F25" s="4" t="s">
        <v>31</v>
      </c>
      <c r="G25" s="4" t="s">
        <v>32</v>
      </c>
      <c r="H25" s="4" t="s">
        <v>23</v>
      </c>
      <c r="I25" s="4" t="s">
        <v>31</v>
      </c>
      <c r="J25" s="4">
        <v>5</v>
      </c>
      <c r="K25" s="4" t="s">
        <v>31</v>
      </c>
      <c r="L25" s="4">
        <v>10</v>
      </c>
      <c r="M25" s="4" t="s">
        <v>31</v>
      </c>
      <c r="N25" s="4">
        <v>4</v>
      </c>
      <c r="O25" s="9">
        <f>IF(COUNT(INDEX($I$6:$I$214,MATCH("019",$B$6:$B$214,0)),INDEX($J$6:$J$214,MATCH("019",$B$6:$B$214,0)),INDEX($J$6:$J$214,MATCH("020",$B$6:$B$214,0)))=3,INDEX($I$6:$I$214,MATCH("019",$B$6:$B$214,0))+14*INDEX($J$6:$J$214,MATCH("019",$B$6:$B$214,0))+15*INDEX($J$6:$J$214,MATCH("020",$B$6:$B$214,0))+70*INDEX($J$6:$J$214,MATCH("020",$B$6:$B$214,0)),"")</f>
        <v>485</v>
      </c>
      <c r="P25" s="9">
        <f>IF(COUNT(INDEX($K$6:$K$214,MATCH("019",$B$6:$B$214,0)),INDEX($L$6:$L$214,MATCH("019",$B$6:$B$214,0)),INDEX($L$6:$L$214,MATCH("020",$B$6:$B$214,0)))=3,INDEX($K$6:$K$214,MATCH("019",$B$6:$B$214,0))+14*INDEX($L$6:$L$214,MATCH("019",$B$6:$B$214,0))+15*INDEX($L$6:$L$214,MATCH("020",$B$6:$B$214,0))+70*INDEX($L$6:$L$214,MATCH("020",$B$6:$B$214,0)),"")</f>
        <v>1040</v>
      </c>
      <c r="Q25" s="9">
        <f>IF(COUNT(O25:P25)=2,O25*10+P25,"")</f>
        <v>5890</v>
      </c>
    </row>
    <row r="26" spans="2:17" ht="21.95" customHeight="1" x14ac:dyDescent="0.2">
      <c r="B26" s="4" t="s">
        <v>403</v>
      </c>
      <c r="C26" s="4" t="s">
        <v>404</v>
      </c>
      <c r="D26" s="4" t="s">
        <v>94</v>
      </c>
      <c r="E26" s="4" t="s">
        <v>20</v>
      </c>
      <c r="F26" s="4" t="s">
        <v>55</v>
      </c>
      <c r="G26" s="4" t="s">
        <v>22</v>
      </c>
      <c r="H26" s="4" t="s">
        <v>40</v>
      </c>
      <c r="I26" s="4">
        <v>4</v>
      </c>
      <c r="J26" s="4">
        <v>4</v>
      </c>
      <c r="K26" s="4">
        <v>90</v>
      </c>
      <c r="L26" s="4">
        <v>20</v>
      </c>
      <c r="M26" s="4">
        <v>9</v>
      </c>
      <c r="N26" s="4">
        <v>4</v>
      </c>
      <c r="O26" s="9">
        <f>IF(COUNT(INDEX($I$6:$I$214,MATCH("021",$B$6:$B$214,0)),INDEX($J$6:$J$214,MATCH("021",$B$6:$B$214,0)))=2,INDEX($I$6:$I$214,MATCH("021",$B$6:$B$214,0))+14*INDEX($J$6:$J$214,MATCH("021",$B$6:$B$214,0))+15*INDEX($J$6:$J$214,MATCH("021",$B$6:$B$214,0))+70*INDEX($J$6:$J$214,MATCH("021",$B$6:$B$214,0)),"")</f>
        <v>400</v>
      </c>
      <c r="P26" s="9">
        <f>IF(COUNT(INDEX($K$6:$K$214,MATCH("021",$B$6:$B$214,0)),INDEX($L$6:$L$214,MATCH("021",$B$6:$B$214,0)))=2,INDEX($K$6:$K$214,MATCH("021",$B$6:$B$214,0))+14*INDEX($L$6:$L$214,MATCH("021",$B$6:$B$214,0))+15*INDEX($L$6:$L$214,MATCH("021",$B$6:$B$214,0))+70*INDEX($L$6:$L$214,MATCH("021",$B$6:$B$214,0)),"")</f>
        <v>2070</v>
      </c>
      <c r="Q26" s="9">
        <f>IF(COUNT(O26:P26)=2,O26*10+P26,"")</f>
        <v>6070</v>
      </c>
    </row>
    <row r="27" spans="2:17" ht="21.95" customHeight="1" x14ac:dyDescent="0.2">
      <c r="B27" s="4" t="s">
        <v>411</v>
      </c>
      <c r="C27" s="4" t="s">
        <v>412</v>
      </c>
      <c r="D27" s="4" t="s">
        <v>94</v>
      </c>
      <c r="E27" s="4" t="s">
        <v>20</v>
      </c>
      <c r="F27" s="4" t="s">
        <v>55</v>
      </c>
      <c r="G27" s="4" t="s">
        <v>22</v>
      </c>
      <c r="H27" s="4" t="s">
        <v>23</v>
      </c>
      <c r="I27" s="4">
        <v>8</v>
      </c>
      <c r="J27" s="4">
        <v>4</v>
      </c>
      <c r="K27" s="4">
        <v>60</v>
      </c>
      <c r="L27" s="4">
        <v>20</v>
      </c>
      <c r="M27" s="4">
        <v>10</v>
      </c>
      <c r="N27" s="4">
        <v>4</v>
      </c>
      <c r="O27" s="9">
        <f>IF(COUNT(INDEX($I$6:$I$214,MATCH("022",$B$6:$B$214,0)),INDEX($J$6:$J$214,MATCH("022",$B$6:$B$214,0)))=2,INDEX($I$6:$I$214,MATCH("022",$B$6:$B$214,0))+14*INDEX($J$6:$J$214,MATCH("022",$B$6:$B$214,0))+15*INDEX($J$6:$J$214,MATCH("022",$B$6:$B$214,0))+70*INDEX($J$6:$J$214,MATCH("022",$B$6:$B$214,0)),"")</f>
        <v>404</v>
      </c>
      <c r="P27" s="9">
        <f>IF(COUNT(INDEX($K$6:$K$214,MATCH("022",$B$6:$B$214,0)),INDEX($L$6:$L$214,MATCH("022",$B$6:$B$214,0)))=2,INDEX($K$6:$K$214,MATCH("022",$B$6:$B$214,0))+14*INDEX($L$6:$L$214,MATCH("022",$B$6:$B$214,0))+15*INDEX($L$6:$L$214,MATCH("022",$B$6:$B$214,0))+70*INDEX($L$6:$L$214,MATCH("022",$B$6:$B$214,0)),"")</f>
        <v>2040</v>
      </c>
      <c r="Q27" s="9">
        <f>IF(COUNT(O27:P27)=2,O27*10+P27,"")</f>
        <v>6080</v>
      </c>
    </row>
    <row r="28" spans="2:17" ht="21.95" customHeight="1" x14ac:dyDescent="0.2">
      <c r="B28" s="4" t="s">
        <v>118</v>
      </c>
      <c r="C28" s="4" t="s">
        <v>119</v>
      </c>
      <c r="D28" s="4" t="s">
        <v>94</v>
      </c>
      <c r="E28" s="4" t="s">
        <v>27</v>
      </c>
      <c r="F28" s="4" t="s">
        <v>21</v>
      </c>
      <c r="G28" s="4" t="s">
        <v>22</v>
      </c>
      <c r="H28" s="4" t="s">
        <v>23</v>
      </c>
      <c r="I28" s="4">
        <v>3</v>
      </c>
      <c r="J28" s="4">
        <v>3</v>
      </c>
      <c r="K28" s="4">
        <v>80</v>
      </c>
      <c r="L28" s="4">
        <v>20</v>
      </c>
      <c r="M28" s="4">
        <v>6</v>
      </c>
      <c r="N28" s="4">
        <v>2</v>
      </c>
      <c r="O28" s="9">
        <f>IF(COUNT(INDEX($I$6:$I$214,MATCH("023",$B$6:$B$214,0)),INDEX($J$6:$J$214,MATCH("023",$B$6:$B$214,0)),INDEX($J$6:$J$214,MATCH("024",$B$6:$B$214,0)),INDEX($J$6:$J$214,MATCH("025",$B$6:$B$214,0)))=4,INDEX($I$6:$I$214,MATCH("023",$B$6:$B$214,0))+14*INDEX($J$6:$J$214,MATCH("023",$B$6:$B$214,0))+15*INDEX($J$6:$J$214,MATCH("024",$B$6:$B$214,0))+70*INDEX($J$6:$J$214,MATCH("025",$B$6:$B$214,0)),"")</f>
        <v>370</v>
      </c>
      <c r="P28" s="9">
        <f>IF(COUNT(INDEX($K$6:$K$214,MATCH("023",$B$6:$B$214,0)),INDEX($L$6:$L$214,MATCH("023",$B$6:$B$214,0)),INDEX($L$6:$L$214,MATCH("024",$B$6:$B$214,0)),INDEX($L$6:$L$214,MATCH("025",$B$6:$B$214,0)))=4,INDEX($K$6:$K$214,MATCH("023",$B$6:$B$214,0))+14*INDEX($L$6:$L$214,MATCH("023",$B$6:$B$214,0))+15*INDEX($L$6:$L$214,MATCH("024",$B$6:$B$214,0))+70*INDEX($L$6:$L$214,MATCH("025",$B$6:$B$214,0)),"")</f>
        <v>2910</v>
      </c>
      <c r="Q28" s="9">
        <f>IF(COUNT(O28:P28)=2,O28*10+P28,"")</f>
        <v>6610</v>
      </c>
    </row>
    <row r="29" spans="2:17" ht="21.95" customHeight="1" x14ac:dyDescent="0.2">
      <c r="B29" s="4" t="s">
        <v>120</v>
      </c>
      <c r="C29" s="4" t="s">
        <v>121</v>
      </c>
      <c r="D29" s="4" t="s">
        <v>94</v>
      </c>
      <c r="E29" s="4" t="s">
        <v>27</v>
      </c>
      <c r="F29" s="4" t="s">
        <v>31</v>
      </c>
      <c r="G29" s="4" t="s">
        <v>32</v>
      </c>
      <c r="H29" s="4" t="s">
        <v>23</v>
      </c>
      <c r="I29" s="4" t="s">
        <v>31</v>
      </c>
      <c r="J29" s="4">
        <v>3</v>
      </c>
      <c r="K29" s="4" t="s">
        <v>31</v>
      </c>
      <c r="L29" s="4">
        <v>30</v>
      </c>
      <c r="M29" s="4" t="s">
        <v>31</v>
      </c>
      <c r="N29" s="4">
        <v>2</v>
      </c>
      <c r="O29" s="9">
        <f>IF(COUNT(INDEX($I$6:$I$214,MATCH("023",$B$6:$B$214,0)),INDEX($J$6:$J$214,MATCH("023",$B$6:$B$214,0)),INDEX($J$6:$J$214,MATCH("024",$B$6:$B$214,0)),INDEX($J$6:$J$214,MATCH("025",$B$6:$B$214,0)))=4,INDEX($I$6:$I$214,MATCH("023",$B$6:$B$214,0))+14*INDEX($J$6:$J$214,MATCH("023",$B$6:$B$214,0))+15*INDEX($J$6:$J$214,MATCH("024",$B$6:$B$214,0))+70*INDEX($J$6:$J$214,MATCH("025",$B$6:$B$214,0)),"")</f>
        <v>370</v>
      </c>
      <c r="P29" s="9">
        <f>IF(COUNT(INDEX($K$6:$K$214,MATCH("023",$B$6:$B$214,0)),INDEX($L$6:$L$214,MATCH("023",$B$6:$B$214,0)),INDEX($L$6:$L$214,MATCH("024",$B$6:$B$214,0)),INDEX($L$6:$L$214,MATCH("025",$B$6:$B$214,0)))=4,INDEX($K$6:$K$214,MATCH("023",$B$6:$B$214,0))+14*INDEX($L$6:$L$214,MATCH("023",$B$6:$B$214,0))+15*INDEX($L$6:$L$214,MATCH("024",$B$6:$B$214,0))+70*INDEX($L$6:$L$214,MATCH("025",$B$6:$B$214,0)),"")</f>
        <v>2910</v>
      </c>
      <c r="Q29" s="9">
        <f>IF(COUNT(O29:P29)=2,O29*10+P29,"")</f>
        <v>6610</v>
      </c>
    </row>
    <row r="30" spans="2:17" ht="21.95" customHeight="1" x14ac:dyDescent="0.2">
      <c r="B30" s="4" t="s">
        <v>122</v>
      </c>
      <c r="C30" s="4" t="s">
        <v>123</v>
      </c>
      <c r="D30" s="4" t="s">
        <v>94</v>
      </c>
      <c r="E30" s="4" t="s">
        <v>27</v>
      </c>
      <c r="F30" s="4" t="s">
        <v>31</v>
      </c>
      <c r="G30" s="4" t="s">
        <v>35</v>
      </c>
      <c r="H30" s="4" t="s">
        <v>23</v>
      </c>
      <c r="I30" s="4" t="s">
        <v>31</v>
      </c>
      <c r="J30" s="4">
        <v>4</v>
      </c>
      <c r="K30" s="4" t="s">
        <v>31</v>
      </c>
      <c r="L30" s="4">
        <v>30</v>
      </c>
      <c r="M30" s="4" t="s">
        <v>31</v>
      </c>
      <c r="N30" s="4">
        <v>3</v>
      </c>
      <c r="O30" s="9">
        <f>IF(COUNT(INDEX($I$6:$I$214,MATCH("023",$B$6:$B$214,0)),INDEX($J$6:$J$214,MATCH("023",$B$6:$B$214,0)),INDEX($J$6:$J$214,MATCH("024",$B$6:$B$214,0)),INDEX($J$6:$J$214,MATCH("025",$B$6:$B$214,0)))=4,INDEX($I$6:$I$214,MATCH("023",$B$6:$B$214,0))+14*INDEX($J$6:$J$214,MATCH("023",$B$6:$B$214,0))+15*INDEX($J$6:$J$214,MATCH("024",$B$6:$B$214,0))+70*INDEX($J$6:$J$214,MATCH("025",$B$6:$B$214,0)),"")</f>
        <v>370</v>
      </c>
      <c r="P30" s="9">
        <f>IF(COUNT(INDEX($K$6:$K$214,MATCH("023",$B$6:$B$214,0)),INDEX($L$6:$L$214,MATCH("023",$B$6:$B$214,0)),INDEX($L$6:$L$214,MATCH("024",$B$6:$B$214,0)),INDEX($L$6:$L$214,MATCH("025",$B$6:$B$214,0)))=4,INDEX($K$6:$K$214,MATCH("023",$B$6:$B$214,0))+14*INDEX($L$6:$L$214,MATCH("023",$B$6:$B$214,0))+15*INDEX($L$6:$L$214,MATCH("024",$B$6:$B$214,0))+70*INDEX($L$6:$L$214,MATCH("025",$B$6:$B$214,0)),"")</f>
        <v>2910</v>
      </c>
      <c r="Q30" s="9">
        <f>IF(COUNT(O30:P30)=2,O30*10+P30,"")</f>
        <v>6610</v>
      </c>
    </row>
    <row r="31" spans="2:17" ht="21.95" customHeight="1" x14ac:dyDescent="0.2">
      <c r="B31" s="4" t="s">
        <v>92</v>
      </c>
      <c r="C31" s="4" t="s">
        <v>93</v>
      </c>
      <c r="D31" s="4" t="s">
        <v>94</v>
      </c>
      <c r="E31" s="4" t="s">
        <v>27</v>
      </c>
      <c r="F31" s="4" t="s">
        <v>21</v>
      </c>
      <c r="G31" s="4" t="s">
        <v>22</v>
      </c>
      <c r="H31" s="4" t="s">
        <v>23</v>
      </c>
      <c r="I31" s="4">
        <v>4</v>
      </c>
      <c r="J31" s="4">
        <v>4</v>
      </c>
      <c r="K31" s="4">
        <v>90</v>
      </c>
      <c r="L31" s="4">
        <v>20</v>
      </c>
      <c r="M31" s="4">
        <v>8</v>
      </c>
      <c r="N31" s="4">
        <v>5</v>
      </c>
      <c r="O31" s="9">
        <f>IF(COUNT(INDEX($I$6:$I$214,MATCH("026",$B$6:$B$214,0)),INDEX($J$6:$J$214,MATCH("026",$B$6:$B$214,0)),INDEX($J$6:$J$214,MATCH("027",$B$6:$B$214,0)))=3,INDEX($I$6:$I$214,MATCH("026",$B$6:$B$214,0))+14*INDEX($J$6:$J$214,MATCH("026",$B$6:$B$214,0))+15*INDEX($J$6:$J$214,MATCH("027",$B$6:$B$214,0))+70*INDEX($J$6:$J$214,MATCH("027",$B$6:$B$214,0)),"")</f>
        <v>485</v>
      </c>
      <c r="P31" s="9">
        <f>IF(COUNT(INDEX($K$6:$K$214,MATCH("026",$B$6:$B$214,0)),INDEX($L$6:$L$214,MATCH("026",$B$6:$B$214,0)),INDEX($L$6:$L$214,MATCH("027",$B$6:$B$214,0)))=3,INDEX($K$6:$K$214,MATCH("026",$B$6:$B$214,0))+14*INDEX($L$6:$L$214,MATCH("026",$B$6:$B$214,0))+15*INDEX($L$6:$L$214,MATCH("027",$B$6:$B$214,0))+70*INDEX($L$6:$L$214,MATCH("027",$B$6:$B$214,0)),"")</f>
        <v>2920</v>
      </c>
      <c r="Q31" s="9">
        <f>IF(COUNT(O31:P31)=2,O31*10+P31,"")</f>
        <v>7770</v>
      </c>
    </row>
    <row r="32" spans="2:17" ht="21.95" customHeight="1" x14ac:dyDescent="0.2">
      <c r="B32" s="4" t="s">
        <v>95</v>
      </c>
      <c r="C32" s="4" t="s">
        <v>96</v>
      </c>
      <c r="D32" s="4" t="s">
        <v>94</v>
      </c>
      <c r="E32" s="4" t="s">
        <v>27</v>
      </c>
      <c r="F32" s="4" t="s">
        <v>31</v>
      </c>
      <c r="G32" s="4" t="s">
        <v>32</v>
      </c>
      <c r="H32" s="4" t="s">
        <v>23</v>
      </c>
      <c r="I32" s="4" t="s">
        <v>31</v>
      </c>
      <c r="J32" s="4">
        <v>5</v>
      </c>
      <c r="K32" s="4" t="s">
        <v>31</v>
      </c>
      <c r="L32" s="4">
        <v>30</v>
      </c>
      <c r="M32" s="4" t="s">
        <v>31</v>
      </c>
      <c r="N32" s="4">
        <v>6</v>
      </c>
      <c r="O32" s="9">
        <f>IF(COUNT(INDEX($I$6:$I$214,MATCH("026",$B$6:$B$214,0)),INDEX($J$6:$J$214,MATCH("026",$B$6:$B$214,0)),INDEX($J$6:$J$214,MATCH("027",$B$6:$B$214,0)))=3,INDEX($I$6:$I$214,MATCH("026",$B$6:$B$214,0))+14*INDEX($J$6:$J$214,MATCH("026",$B$6:$B$214,0))+15*INDEX($J$6:$J$214,MATCH("027",$B$6:$B$214,0))+70*INDEX($J$6:$J$214,MATCH("027",$B$6:$B$214,0)),"")</f>
        <v>485</v>
      </c>
      <c r="P32" s="9">
        <f>IF(COUNT(INDEX($K$6:$K$214,MATCH("026",$B$6:$B$214,0)),INDEX($L$6:$L$214,MATCH("026",$B$6:$B$214,0)),INDEX($L$6:$L$214,MATCH("027",$B$6:$B$214,0)))=3,INDEX($K$6:$K$214,MATCH("026",$B$6:$B$214,0))+14*INDEX($L$6:$L$214,MATCH("026",$B$6:$B$214,0))+15*INDEX($L$6:$L$214,MATCH("027",$B$6:$B$214,0))+70*INDEX($L$6:$L$214,MATCH("027",$B$6:$B$214,0)),"")</f>
        <v>2920</v>
      </c>
      <c r="Q32" s="9">
        <f>IF(COUNT(O32:P32)=2,O32*10+P32,"")</f>
        <v>7770</v>
      </c>
    </row>
    <row r="33" spans="2:17" ht="21.95" customHeight="1" x14ac:dyDescent="0.2">
      <c r="B33" s="4" t="s">
        <v>245</v>
      </c>
      <c r="C33" s="4" t="s">
        <v>246</v>
      </c>
      <c r="D33" s="4" t="s">
        <v>94</v>
      </c>
      <c r="E33" s="4" t="s">
        <v>27</v>
      </c>
      <c r="F33" s="4" t="s">
        <v>21</v>
      </c>
      <c r="G33" s="4" t="s">
        <v>22</v>
      </c>
      <c r="H33" s="4" t="s">
        <v>40</v>
      </c>
      <c r="I33" s="4">
        <v>5</v>
      </c>
      <c r="J33" s="4">
        <v>5</v>
      </c>
      <c r="K33" s="4">
        <v>10</v>
      </c>
      <c r="L33" s="4">
        <v>20</v>
      </c>
      <c r="M33" s="4">
        <v>9</v>
      </c>
      <c r="N33" s="4">
        <v>4</v>
      </c>
      <c r="O33" s="9">
        <f>IF(COUNT(INDEX($I$6:$I$214,MATCH("028",$B$6:$B$214,0)),INDEX($J$6:$J$214,MATCH("028",$B$6:$B$214,0)))=2,INDEX($I$6:$I$214,MATCH("028",$B$6:$B$214,0))+14*INDEX($J$6:$J$214,MATCH("028",$B$6:$B$214,0))+15*INDEX($J$6:$J$214,MATCH("028",$B$6:$B$214,0))+70*INDEX($J$6:$J$214,MATCH("028",$B$6:$B$214,0)),"")</f>
        <v>500</v>
      </c>
      <c r="P33" s="9">
        <f>IF(COUNT(INDEX($K$6:$K$214,MATCH("028",$B$6:$B$214,0)),INDEX($L$6:$L$214,MATCH("028",$B$6:$B$214,0)))=2,INDEX($K$6:$K$214,MATCH("028",$B$6:$B$214,0))+14*INDEX($L$6:$L$214,MATCH("028",$B$6:$B$214,0))+15*INDEX($L$6:$L$214,MATCH("028",$B$6:$B$214,0))+70*INDEX($L$6:$L$214,MATCH("028",$B$6:$B$214,0)),"")</f>
        <v>1990</v>
      </c>
      <c r="Q33" s="9">
        <f>IF(COUNT(O33:P33)=2,O33*10+P33,"")</f>
        <v>6990</v>
      </c>
    </row>
    <row r="34" spans="2:17" ht="21.95" customHeight="1" x14ac:dyDescent="0.2">
      <c r="B34" s="4" t="s">
        <v>191</v>
      </c>
      <c r="C34" s="4" t="s">
        <v>192</v>
      </c>
      <c r="D34" s="4" t="s">
        <v>94</v>
      </c>
      <c r="E34" s="4" t="s">
        <v>27</v>
      </c>
      <c r="F34" s="4" t="s">
        <v>21</v>
      </c>
      <c r="G34" s="4" t="s">
        <v>22</v>
      </c>
      <c r="H34" s="4" t="s">
        <v>40</v>
      </c>
      <c r="I34" s="4">
        <v>2</v>
      </c>
      <c r="J34" s="4">
        <v>4</v>
      </c>
      <c r="K34" s="4">
        <v>50</v>
      </c>
      <c r="L34" s="4">
        <v>40</v>
      </c>
      <c r="M34" s="4">
        <v>6</v>
      </c>
      <c r="N34" s="4">
        <v>3</v>
      </c>
      <c r="O34" s="9">
        <f>IF(COUNT(INDEX($I$6:$I$214,MATCH("029",$B$6:$B$214,0)),INDEX($J$6:$J$214,MATCH("029",$B$6:$B$214,0)))=2,INDEX($I$6:$I$214,MATCH("029",$B$6:$B$214,0))+14*INDEX($J$6:$J$214,MATCH("029",$B$6:$B$214,0))+15*INDEX($J$6:$J$214,MATCH("029",$B$6:$B$214,0))+70*INDEX($J$6:$J$214,MATCH("029",$B$6:$B$214,0)),"")</f>
        <v>398</v>
      </c>
      <c r="P34" s="9">
        <f>IF(COUNT(INDEX($K$6:$K$214,MATCH("029",$B$6:$B$214,0)),INDEX($L$6:$L$214,MATCH("029",$B$6:$B$214,0)))=2,INDEX($K$6:$K$214,MATCH("029",$B$6:$B$214,0))+14*INDEX($L$6:$L$214,MATCH("029",$B$6:$B$214,0))+15*INDEX($L$6:$L$214,MATCH("029",$B$6:$B$214,0))+70*INDEX($L$6:$L$214,MATCH("029",$B$6:$B$214,0)),"")</f>
        <v>4010</v>
      </c>
      <c r="Q34" s="9">
        <f>IF(COUNT(O34:P34)=2,O34*10+P34,"")</f>
        <v>7990</v>
      </c>
    </row>
    <row r="35" spans="2:17" ht="21.95" customHeight="1" x14ac:dyDescent="0.2">
      <c r="B35" s="4" t="s">
        <v>365</v>
      </c>
      <c r="C35" s="4" t="s">
        <v>366</v>
      </c>
      <c r="D35" s="4" t="s">
        <v>54</v>
      </c>
      <c r="E35" s="4" t="s">
        <v>38</v>
      </c>
      <c r="F35" s="4" t="s">
        <v>156</v>
      </c>
      <c r="G35" s="4" t="s">
        <v>22</v>
      </c>
      <c r="H35" s="4" t="s">
        <v>40</v>
      </c>
      <c r="I35" s="4">
        <v>2</v>
      </c>
      <c r="J35" s="4">
        <v>2</v>
      </c>
      <c r="K35" s="4">
        <v>60</v>
      </c>
      <c r="L35" s="4">
        <v>20</v>
      </c>
      <c r="M35" s="4">
        <v>6</v>
      </c>
      <c r="N35" s="4">
        <v>2</v>
      </c>
      <c r="O35" s="9">
        <f>IF(COUNT(INDEX($I$6:$I$214,MATCH("031",$B$6:$B$214,0)),INDEX($J$6:$J$214,MATCH("031",$B$6:$B$214,0)),INDEX($J$6:$J$214,MATCH("032",$B$6:$B$214,0)),INDEX($J$6:$J$214,MATCH("033",$B$6:$B$214,0)))=4,INDEX($I$6:$I$214,MATCH("031",$B$6:$B$214,0))+14*INDEX($J$6:$J$214,MATCH("031",$B$6:$B$214,0))+15*INDEX($J$6:$J$214,MATCH("032",$B$6:$B$214,0))+70*INDEX($J$6:$J$214,MATCH("033",$B$6:$B$214,0)),"")</f>
        <v>285</v>
      </c>
      <c r="P35" s="9">
        <f>IF(COUNT(INDEX($K$6:$K$214,MATCH("031",$B$6:$B$214,0)),INDEX($L$6:$L$214,MATCH("031",$B$6:$B$214,0)),INDEX($L$6:$L$214,MATCH("032",$B$6:$B$214,0)),INDEX($L$6:$L$214,MATCH("033",$B$6:$B$214,0)))=4,INDEX($K$6:$K$214,MATCH("031",$B$6:$B$214,0))+14*INDEX($L$6:$L$214,MATCH("031",$B$6:$B$214,0))+15*INDEX($L$6:$L$214,MATCH("032",$B$6:$B$214,0))+70*INDEX($L$6:$L$214,MATCH("033",$B$6:$B$214,0)),"")</f>
        <v>2890</v>
      </c>
      <c r="Q35" s="9">
        <f>IF(COUNT(O35:P35)=2,O35*10+P35,"")</f>
        <v>5740</v>
      </c>
    </row>
    <row r="36" spans="2:17" ht="21.95" customHeight="1" x14ac:dyDescent="0.2">
      <c r="B36" s="4" t="s">
        <v>367</v>
      </c>
      <c r="C36" s="4" t="s">
        <v>368</v>
      </c>
      <c r="D36" s="4" t="s">
        <v>54</v>
      </c>
      <c r="E36" s="4" t="s">
        <v>38</v>
      </c>
      <c r="F36" s="4" t="s">
        <v>31</v>
      </c>
      <c r="G36" s="4" t="s">
        <v>32</v>
      </c>
      <c r="H36" s="4" t="s">
        <v>40</v>
      </c>
      <c r="I36" s="4" t="s">
        <v>31</v>
      </c>
      <c r="J36" s="4">
        <v>3</v>
      </c>
      <c r="K36" s="4" t="s">
        <v>31</v>
      </c>
      <c r="L36" s="4">
        <v>30</v>
      </c>
      <c r="M36" s="4" t="s">
        <v>31</v>
      </c>
      <c r="N36" s="4">
        <v>3</v>
      </c>
      <c r="O36" s="9">
        <f>IF(COUNT(INDEX($I$6:$I$214,MATCH("031",$B$6:$B$214,0)),INDEX($J$6:$J$214,MATCH("031",$B$6:$B$214,0)),INDEX($J$6:$J$214,MATCH("032",$B$6:$B$214,0)),INDEX($J$6:$J$214,MATCH("033",$B$6:$B$214,0)))=4,INDEX($I$6:$I$214,MATCH("031",$B$6:$B$214,0))+14*INDEX($J$6:$J$214,MATCH("031",$B$6:$B$214,0))+15*INDEX($J$6:$J$214,MATCH("032",$B$6:$B$214,0))+70*INDEX($J$6:$J$214,MATCH("033",$B$6:$B$214,0)),"")</f>
        <v>285</v>
      </c>
      <c r="P36" s="9">
        <f>IF(COUNT(INDEX($K$6:$K$214,MATCH("031",$B$6:$B$214,0)),INDEX($L$6:$L$214,MATCH("031",$B$6:$B$214,0)),INDEX($L$6:$L$214,MATCH("032",$B$6:$B$214,0)),INDEX($L$6:$L$214,MATCH("033",$B$6:$B$214,0)))=4,INDEX($K$6:$K$214,MATCH("031",$B$6:$B$214,0))+14*INDEX($L$6:$L$214,MATCH("031",$B$6:$B$214,0))+15*INDEX($L$6:$L$214,MATCH("032",$B$6:$B$214,0))+70*INDEX($L$6:$L$214,MATCH("033",$B$6:$B$214,0)),"")</f>
        <v>2890</v>
      </c>
      <c r="Q36" s="9">
        <f>IF(COUNT(O36:P36)=2,O36*10+P36,"")</f>
        <v>5740</v>
      </c>
    </row>
    <row r="37" spans="2:17" ht="21.95" customHeight="1" x14ac:dyDescent="0.2">
      <c r="B37" s="4" t="s">
        <v>369</v>
      </c>
      <c r="C37" s="4" t="s">
        <v>370</v>
      </c>
      <c r="D37" s="4" t="s">
        <v>54</v>
      </c>
      <c r="E37" s="4" t="s">
        <v>38</v>
      </c>
      <c r="F37" s="4" t="s">
        <v>31</v>
      </c>
      <c r="G37" s="4" t="s">
        <v>35</v>
      </c>
      <c r="H37" s="4" t="s">
        <v>40</v>
      </c>
      <c r="I37" s="4" t="s">
        <v>31</v>
      </c>
      <c r="J37" s="4">
        <v>3</v>
      </c>
      <c r="K37" s="4" t="s">
        <v>31</v>
      </c>
      <c r="L37" s="4">
        <v>30</v>
      </c>
      <c r="M37" s="4" t="s">
        <v>31</v>
      </c>
      <c r="N37" s="4">
        <v>4</v>
      </c>
      <c r="O37" s="9">
        <f>IF(COUNT(INDEX($I$6:$I$214,MATCH("031",$B$6:$B$214,0)),INDEX($J$6:$J$214,MATCH("031",$B$6:$B$214,0)),INDEX($J$6:$J$214,MATCH("032",$B$6:$B$214,0)),INDEX($J$6:$J$214,MATCH("033",$B$6:$B$214,0)))=4,INDEX($I$6:$I$214,MATCH("031",$B$6:$B$214,0))+14*INDEX($J$6:$J$214,MATCH("031",$B$6:$B$214,0))+15*INDEX($J$6:$J$214,MATCH("032",$B$6:$B$214,0))+70*INDEX($J$6:$J$214,MATCH("033",$B$6:$B$214,0)),"")</f>
        <v>285</v>
      </c>
      <c r="P37" s="9">
        <f>IF(COUNT(INDEX($K$6:$K$214,MATCH("031",$B$6:$B$214,0)),INDEX($L$6:$L$214,MATCH("031",$B$6:$B$214,0)),INDEX($L$6:$L$214,MATCH("032",$B$6:$B$214,0)),INDEX($L$6:$L$214,MATCH("033",$B$6:$B$214,0)))=4,INDEX($K$6:$K$214,MATCH("031",$B$6:$B$214,0))+14*INDEX($L$6:$L$214,MATCH("031",$B$6:$B$214,0))+15*INDEX($L$6:$L$214,MATCH("032",$B$6:$B$214,0))+70*INDEX($L$6:$L$214,MATCH("033",$B$6:$B$214,0)),"")</f>
        <v>2890</v>
      </c>
      <c r="Q37" s="9">
        <f>IF(COUNT(O37:P37)=2,O37*10+P37,"")</f>
        <v>5740</v>
      </c>
    </row>
    <row r="38" spans="2:17" ht="21.95" customHeight="1" x14ac:dyDescent="0.2">
      <c r="B38" s="4" t="s">
        <v>154</v>
      </c>
      <c r="C38" s="4" t="s">
        <v>155</v>
      </c>
      <c r="D38" s="4" t="s">
        <v>54</v>
      </c>
      <c r="E38" s="4" t="s">
        <v>38</v>
      </c>
      <c r="F38" s="4" t="s">
        <v>156</v>
      </c>
      <c r="G38" s="4" t="s">
        <v>22</v>
      </c>
      <c r="H38" s="4" t="s">
        <v>40</v>
      </c>
      <c r="I38" s="4">
        <v>2</v>
      </c>
      <c r="J38" s="4">
        <v>1</v>
      </c>
      <c r="K38" s="4">
        <v>110</v>
      </c>
      <c r="L38" s="4">
        <v>10</v>
      </c>
      <c r="M38" s="4">
        <v>6</v>
      </c>
      <c r="N38" s="4">
        <v>2</v>
      </c>
      <c r="O38" s="9">
        <f>IF(COUNT(INDEX($I$6:$I$214,MATCH("034",$B$6:$B$214,0)),INDEX($J$6:$J$214,MATCH("034",$B$6:$B$214,0)),INDEX($J$6:$J$214,MATCH("035",$B$6:$B$214,0)),INDEX($J$6:$J$214,MATCH("036",$B$6:$B$214,0)))=4,INDEX($I$6:$I$214,MATCH("034",$B$6:$B$214,0))+14*INDEX($J$6:$J$214,MATCH("034",$B$6:$B$214,0))+15*INDEX($J$6:$J$214,MATCH("035",$B$6:$B$214,0))+70*INDEX($J$6:$J$214,MATCH("036",$B$6:$B$214,0)),"")</f>
        <v>256</v>
      </c>
      <c r="P38" s="9">
        <f>IF(COUNT(INDEX($K$6:$K$214,MATCH("034",$B$6:$B$214,0)),INDEX($L$6:$L$214,MATCH("034",$B$6:$B$214,0)),INDEX($L$6:$L$214,MATCH("035",$B$6:$B$214,0)),INDEX($L$6:$L$214,MATCH("036",$B$6:$B$214,0)))=4,INDEX($K$6:$K$214,MATCH("034",$B$6:$B$214,0))+14*INDEX($L$6:$L$214,MATCH("034",$B$6:$B$214,0))+15*INDEX($L$6:$L$214,MATCH("035",$B$6:$B$214,0))+70*INDEX($L$6:$L$214,MATCH("036",$B$6:$B$214,0)),"")</f>
        <v>3350</v>
      </c>
      <c r="Q38" s="9">
        <f>IF(COUNT(O38:P38)=2,O38*10+P38,"")</f>
        <v>5910</v>
      </c>
    </row>
    <row r="39" spans="2:17" ht="21.95" customHeight="1" x14ac:dyDescent="0.2">
      <c r="B39" s="4" t="s">
        <v>157</v>
      </c>
      <c r="C39" s="4" t="s">
        <v>158</v>
      </c>
      <c r="D39" s="4" t="s">
        <v>54</v>
      </c>
      <c r="E39" s="4" t="s">
        <v>38</v>
      </c>
      <c r="F39" s="4" t="s">
        <v>31</v>
      </c>
      <c r="G39" s="4" t="s">
        <v>32</v>
      </c>
      <c r="H39" s="4" t="s">
        <v>40</v>
      </c>
      <c r="I39" s="4" t="s">
        <v>31</v>
      </c>
      <c r="J39" s="4">
        <v>2</v>
      </c>
      <c r="K39" s="4" t="s">
        <v>31</v>
      </c>
      <c r="L39" s="4">
        <v>20</v>
      </c>
      <c r="M39" s="4" t="s">
        <v>31</v>
      </c>
      <c r="N39" s="4">
        <v>3</v>
      </c>
      <c r="O39" s="9">
        <f>IF(COUNT(INDEX($I$6:$I$214,MATCH("034",$B$6:$B$214,0)),INDEX($J$6:$J$214,MATCH("034",$B$6:$B$214,0)),INDEX($J$6:$J$214,MATCH("035",$B$6:$B$214,0)),INDEX($J$6:$J$214,MATCH("036",$B$6:$B$214,0)))=4,INDEX($I$6:$I$214,MATCH("034",$B$6:$B$214,0))+14*INDEX($J$6:$J$214,MATCH("034",$B$6:$B$214,0))+15*INDEX($J$6:$J$214,MATCH("035",$B$6:$B$214,0))+70*INDEX($J$6:$J$214,MATCH("036",$B$6:$B$214,0)),"")</f>
        <v>256</v>
      </c>
      <c r="P39" s="9">
        <f>IF(COUNT(INDEX($K$6:$K$214,MATCH("034",$B$6:$B$214,0)),INDEX($L$6:$L$214,MATCH("034",$B$6:$B$214,0)),INDEX($L$6:$L$214,MATCH("035",$B$6:$B$214,0)),INDEX($L$6:$L$214,MATCH("036",$B$6:$B$214,0)))=4,INDEX($K$6:$K$214,MATCH("034",$B$6:$B$214,0))+14*INDEX($L$6:$L$214,MATCH("034",$B$6:$B$214,0))+15*INDEX($L$6:$L$214,MATCH("035",$B$6:$B$214,0))+70*INDEX($L$6:$L$214,MATCH("036",$B$6:$B$214,0)),"")</f>
        <v>3350</v>
      </c>
      <c r="Q39" s="9">
        <f>IF(COUNT(O39:P39)=2,O39*10+P39,"")</f>
        <v>5910</v>
      </c>
    </row>
    <row r="40" spans="2:17" ht="21.95" customHeight="1" x14ac:dyDescent="0.2">
      <c r="B40" s="4" t="s">
        <v>159</v>
      </c>
      <c r="C40" s="4" t="s">
        <v>160</v>
      </c>
      <c r="D40" s="4" t="s">
        <v>54</v>
      </c>
      <c r="E40" s="4" t="s">
        <v>38</v>
      </c>
      <c r="F40" s="4" t="s">
        <v>31</v>
      </c>
      <c r="G40" s="4" t="s">
        <v>35</v>
      </c>
      <c r="H40" s="4" t="s">
        <v>40</v>
      </c>
      <c r="I40" s="4" t="s">
        <v>31</v>
      </c>
      <c r="J40" s="4">
        <v>3</v>
      </c>
      <c r="K40" s="4" t="s">
        <v>31</v>
      </c>
      <c r="L40" s="4">
        <v>40</v>
      </c>
      <c r="M40" s="4" t="s">
        <v>31</v>
      </c>
      <c r="N40" s="4">
        <v>3</v>
      </c>
      <c r="O40" s="9">
        <f>IF(COUNT(INDEX($I$6:$I$214,MATCH("034",$B$6:$B$214,0)),INDEX($J$6:$J$214,MATCH("034",$B$6:$B$214,0)),INDEX($J$6:$J$214,MATCH("035",$B$6:$B$214,0)),INDEX($J$6:$J$214,MATCH("036",$B$6:$B$214,0)))=4,INDEX($I$6:$I$214,MATCH("034",$B$6:$B$214,0))+14*INDEX($J$6:$J$214,MATCH("034",$B$6:$B$214,0))+15*INDEX($J$6:$J$214,MATCH("035",$B$6:$B$214,0))+70*INDEX($J$6:$J$214,MATCH("036",$B$6:$B$214,0)),"")</f>
        <v>256</v>
      </c>
      <c r="P40" s="9">
        <f>IF(COUNT(INDEX($K$6:$K$214,MATCH("034",$B$6:$B$214,0)),INDEX($L$6:$L$214,MATCH("034",$B$6:$B$214,0)),INDEX($L$6:$L$214,MATCH("035",$B$6:$B$214,0)),INDEX($L$6:$L$214,MATCH("036",$B$6:$B$214,0)))=4,INDEX($K$6:$K$214,MATCH("034",$B$6:$B$214,0))+14*INDEX($L$6:$L$214,MATCH("034",$B$6:$B$214,0))+15*INDEX($L$6:$L$214,MATCH("035",$B$6:$B$214,0))+70*INDEX($L$6:$L$214,MATCH("036",$B$6:$B$214,0)),"")</f>
        <v>3350</v>
      </c>
      <c r="Q40" s="9">
        <f>IF(COUNT(O40:P40)=2,O40*10+P40,"")</f>
        <v>5910</v>
      </c>
    </row>
    <row r="41" spans="2:17" ht="21.95" customHeight="1" x14ac:dyDescent="0.2">
      <c r="B41" s="4" t="s">
        <v>197</v>
      </c>
      <c r="C41" s="4" t="s">
        <v>198</v>
      </c>
      <c r="D41" s="4" t="s">
        <v>54</v>
      </c>
      <c r="E41" s="4" t="s">
        <v>38</v>
      </c>
      <c r="F41" s="4" t="s">
        <v>156</v>
      </c>
      <c r="G41" s="4" t="s">
        <v>22</v>
      </c>
      <c r="H41" s="4" t="s">
        <v>40</v>
      </c>
      <c r="I41" s="4">
        <v>2</v>
      </c>
      <c r="J41" s="4">
        <v>2</v>
      </c>
      <c r="K41" s="4">
        <v>80</v>
      </c>
      <c r="L41" s="4">
        <v>20</v>
      </c>
      <c r="M41" s="4">
        <v>6</v>
      </c>
      <c r="N41" s="4">
        <v>2</v>
      </c>
      <c r="O41" s="9">
        <f>IF(COUNT(INDEX($I$6:$I$214,MATCH("037",$B$6:$B$214,0)),INDEX($J$6:$J$214,MATCH("037",$B$6:$B$214,0)),INDEX($J$6:$J$214,MATCH("038",$B$6:$B$214,0)))=3,INDEX($I$6:$I$214,MATCH("037",$B$6:$B$214,0))+14*INDEX($J$6:$J$214,MATCH("037",$B$6:$B$214,0))+15*INDEX($J$6:$J$214,MATCH("038",$B$6:$B$214,0))+70*INDEX($J$6:$J$214,MATCH("038",$B$6:$B$214,0)),"")</f>
        <v>285</v>
      </c>
      <c r="P41" s="9">
        <f>IF(COUNT(INDEX($K$6:$K$214,MATCH("037",$B$6:$B$214,0)),INDEX($L$6:$L$214,MATCH("037",$B$6:$B$214,0)),INDEX($L$6:$L$214,MATCH("038",$B$6:$B$214,0)))=3,INDEX($K$6:$K$214,MATCH("037",$B$6:$B$214,0))+14*INDEX($L$6:$L$214,MATCH("037",$B$6:$B$214,0))+15*INDEX($L$6:$L$214,MATCH("038",$B$6:$B$214,0))+70*INDEX($L$6:$L$214,MATCH("038",$B$6:$B$214,0)),"")</f>
        <v>2910</v>
      </c>
      <c r="Q41" s="9">
        <f>IF(COUNT(O41:P41)=2,O41*10+P41,"")</f>
        <v>5760</v>
      </c>
    </row>
    <row r="42" spans="2:17" ht="21.95" customHeight="1" x14ac:dyDescent="0.2">
      <c r="B42" s="4" t="s">
        <v>199</v>
      </c>
      <c r="C42" s="4" t="s">
        <v>200</v>
      </c>
      <c r="D42" s="4" t="s">
        <v>54</v>
      </c>
      <c r="E42" s="4" t="s">
        <v>38</v>
      </c>
      <c r="F42" s="4" t="s">
        <v>31</v>
      </c>
      <c r="G42" s="4" t="s">
        <v>32</v>
      </c>
      <c r="H42" s="4" t="s">
        <v>40</v>
      </c>
      <c r="I42" s="4" t="s">
        <v>31</v>
      </c>
      <c r="J42" s="4">
        <v>3</v>
      </c>
      <c r="K42" s="4" t="s">
        <v>31</v>
      </c>
      <c r="L42" s="4">
        <v>30</v>
      </c>
      <c r="M42" s="4" t="s">
        <v>31</v>
      </c>
      <c r="N42" s="4">
        <v>3</v>
      </c>
      <c r="O42" s="9">
        <f>IF(COUNT(INDEX($I$6:$I$214,MATCH("037",$B$6:$B$214,0)),INDEX($J$6:$J$214,MATCH("037",$B$6:$B$214,0)),INDEX($J$6:$J$214,MATCH("038",$B$6:$B$214,0)))=3,INDEX($I$6:$I$214,MATCH("037",$B$6:$B$214,0))+14*INDEX($J$6:$J$214,MATCH("037",$B$6:$B$214,0))+15*INDEX($J$6:$J$214,MATCH("038",$B$6:$B$214,0))+70*INDEX($J$6:$J$214,MATCH("038",$B$6:$B$214,0)),"")</f>
        <v>285</v>
      </c>
      <c r="P42" s="9">
        <f>IF(COUNT(INDEX($K$6:$K$214,MATCH("037",$B$6:$B$214,0)),INDEX($L$6:$L$214,MATCH("037",$B$6:$B$214,0)),INDEX($L$6:$L$214,MATCH("038",$B$6:$B$214,0)))=3,INDEX($K$6:$K$214,MATCH("037",$B$6:$B$214,0))+14*INDEX($L$6:$L$214,MATCH("037",$B$6:$B$214,0))+15*INDEX($L$6:$L$214,MATCH("038",$B$6:$B$214,0))+70*INDEX($L$6:$L$214,MATCH("038",$B$6:$B$214,0)),"")</f>
        <v>2910</v>
      </c>
      <c r="Q42" s="9">
        <f>IF(COUNT(O42:P42)=2,O42*10+P42,"")</f>
        <v>5760</v>
      </c>
    </row>
    <row r="43" spans="2:17" ht="21.95" customHeight="1" x14ac:dyDescent="0.2">
      <c r="B43" s="4" t="s">
        <v>431</v>
      </c>
      <c r="C43" s="4" t="s">
        <v>432</v>
      </c>
      <c r="D43" s="4" t="s">
        <v>54</v>
      </c>
      <c r="E43" s="4" t="s">
        <v>38</v>
      </c>
      <c r="F43" s="4" t="s">
        <v>156</v>
      </c>
      <c r="G43" s="4" t="s">
        <v>22</v>
      </c>
      <c r="H43" s="4" t="s">
        <v>40</v>
      </c>
      <c r="I43" s="4">
        <v>2</v>
      </c>
      <c r="J43" s="4">
        <v>1</v>
      </c>
      <c r="K43" s="4">
        <v>80</v>
      </c>
      <c r="L43" s="4">
        <v>20</v>
      </c>
      <c r="M43" s="4">
        <v>5</v>
      </c>
      <c r="N43" s="4">
        <v>2</v>
      </c>
      <c r="O43" s="9">
        <f>IF(COUNT(INDEX($I$6:$I$214,MATCH("039",$B$6:$B$214,0)),INDEX($J$6:$J$214,MATCH("039",$B$6:$B$214,0)),INDEX($J$6:$J$214,MATCH("040",$B$6:$B$214,0)))=3,INDEX($I$6:$I$214,MATCH("039",$B$6:$B$214,0))+14*INDEX($J$6:$J$214,MATCH("039",$B$6:$B$214,0))+15*INDEX($J$6:$J$214,MATCH("040",$B$6:$B$214,0))+70*INDEX($J$6:$J$214,MATCH("040",$B$6:$B$214,0)),"")</f>
        <v>186</v>
      </c>
      <c r="P43" s="9">
        <f>IF(COUNT(INDEX($K$6:$K$214,MATCH("039",$B$6:$B$214,0)),INDEX($L$6:$L$214,MATCH("039",$B$6:$B$214,0)),INDEX($L$6:$L$214,MATCH("040",$B$6:$B$214,0)))=3,INDEX($K$6:$K$214,MATCH("039",$B$6:$B$214,0))+14*INDEX($L$6:$L$214,MATCH("039",$B$6:$B$214,0))+15*INDEX($L$6:$L$214,MATCH("040",$B$6:$B$214,0))+70*INDEX($L$6:$L$214,MATCH("040",$B$6:$B$214,0)),"")</f>
        <v>2910</v>
      </c>
      <c r="Q43" s="9">
        <f>IF(COUNT(O43:P43)=2,O43*10+P43,"")</f>
        <v>4770</v>
      </c>
    </row>
    <row r="44" spans="2:17" ht="21.95" customHeight="1" x14ac:dyDescent="0.2">
      <c r="B44" s="4" t="s">
        <v>433</v>
      </c>
      <c r="C44" s="4" t="s">
        <v>434</v>
      </c>
      <c r="D44" s="4" t="s">
        <v>54</v>
      </c>
      <c r="E44" s="4" t="s">
        <v>38</v>
      </c>
      <c r="F44" s="4" t="s">
        <v>31</v>
      </c>
      <c r="G44" s="4" t="s">
        <v>32</v>
      </c>
      <c r="H44" s="4" t="s">
        <v>40</v>
      </c>
      <c r="I44" s="4" t="s">
        <v>31</v>
      </c>
      <c r="J44" s="4">
        <v>2</v>
      </c>
      <c r="K44" s="4" t="s">
        <v>31</v>
      </c>
      <c r="L44" s="4">
        <v>30</v>
      </c>
      <c r="M44" s="4" t="s">
        <v>31</v>
      </c>
      <c r="N44" s="4">
        <v>3</v>
      </c>
      <c r="O44" s="9">
        <f>IF(COUNT(INDEX($I$6:$I$214,MATCH("039",$B$6:$B$214,0)),INDEX($J$6:$J$214,MATCH("039",$B$6:$B$214,0)),INDEX($J$6:$J$214,MATCH("040",$B$6:$B$214,0)))=3,INDEX($I$6:$I$214,MATCH("039",$B$6:$B$214,0))+14*INDEX($J$6:$J$214,MATCH("039",$B$6:$B$214,0))+15*INDEX($J$6:$J$214,MATCH("040",$B$6:$B$214,0))+70*INDEX($J$6:$J$214,MATCH("040",$B$6:$B$214,0)),"")</f>
        <v>186</v>
      </c>
      <c r="P44" s="9">
        <f>IF(COUNT(INDEX($K$6:$K$214,MATCH("039",$B$6:$B$214,0)),INDEX($L$6:$L$214,MATCH("039",$B$6:$B$214,0)),INDEX($L$6:$L$214,MATCH("040",$B$6:$B$214,0)))=3,INDEX($K$6:$K$214,MATCH("039",$B$6:$B$214,0))+14*INDEX($L$6:$L$214,MATCH("039",$B$6:$B$214,0))+15*INDEX($L$6:$L$214,MATCH("040",$B$6:$B$214,0))+70*INDEX($L$6:$L$214,MATCH("040",$B$6:$B$214,0)),"")</f>
        <v>2910</v>
      </c>
      <c r="Q44" s="9">
        <f>IF(COUNT(O44:P44)=2,O44*10+P44,"")</f>
        <v>4770</v>
      </c>
    </row>
    <row r="45" spans="2:17" ht="21.95" customHeight="1" x14ac:dyDescent="0.2">
      <c r="B45" s="4" t="s">
        <v>343</v>
      </c>
      <c r="C45" s="4" t="s">
        <v>344</v>
      </c>
      <c r="D45" s="4" t="s">
        <v>54</v>
      </c>
      <c r="E45" s="4" t="s">
        <v>38</v>
      </c>
      <c r="F45" s="4" t="s">
        <v>156</v>
      </c>
      <c r="G45" s="4" t="s">
        <v>22</v>
      </c>
      <c r="H45" s="4" t="s">
        <v>40</v>
      </c>
      <c r="I45" s="4">
        <v>1</v>
      </c>
      <c r="J45" s="4">
        <v>2</v>
      </c>
      <c r="K45" s="4">
        <v>100</v>
      </c>
      <c r="L45" s="4">
        <v>30</v>
      </c>
      <c r="M45" s="4">
        <v>5</v>
      </c>
      <c r="N45" s="4">
        <v>3</v>
      </c>
      <c r="O45" s="9">
        <f>IF(COUNT(INDEX($I$6:$I$214,MATCH("041",$B$6:$B$214,0)),INDEX($J$6:$J$214,MATCH("041",$B$6:$B$214,0)))=2,INDEX($I$6:$I$214,MATCH("041",$B$6:$B$214,0))+14*INDEX($J$6:$J$214,MATCH("041",$B$6:$B$214,0))+15*INDEX($J$6:$J$214,MATCH("041",$B$6:$B$214,0))+70*INDEX($J$6:$J$214,MATCH("041",$B$6:$B$214,0)),"")</f>
        <v>199</v>
      </c>
      <c r="P45" s="9">
        <f>IF(COUNT(INDEX($K$6:$K$214,MATCH("041",$B$6:$B$214,0)),INDEX($L$6:$L$214,MATCH("041",$B$6:$B$214,0)))=2,INDEX($K$6:$K$214,MATCH("041",$B$6:$B$214,0))+14*INDEX($L$6:$L$214,MATCH("041",$B$6:$B$214,0))+15*INDEX($L$6:$L$214,MATCH("041",$B$6:$B$214,0))+70*INDEX($L$6:$L$214,MATCH("041",$B$6:$B$214,0)),"")</f>
        <v>3070</v>
      </c>
      <c r="Q45" s="9">
        <f>IF(COUNT(O45:P45)=2,O45*10+P45,"")</f>
        <v>5060</v>
      </c>
    </row>
    <row r="46" spans="2:17" ht="21.95" customHeight="1" x14ac:dyDescent="0.2">
      <c r="B46" s="4" t="s">
        <v>349</v>
      </c>
      <c r="C46" s="4" t="s">
        <v>350</v>
      </c>
      <c r="D46" s="4" t="s">
        <v>54</v>
      </c>
      <c r="E46" s="4" t="s">
        <v>38</v>
      </c>
      <c r="F46" s="4" t="s">
        <v>156</v>
      </c>
      <c r="G46" s="4" t="s">
        <v>22</v>
      </c>
      <c r="H46" s="4" t="s">
        <v>40</v>
      </c>
      <c r="I46" s="4">
        <v>2</v>
      </c>
      <c r="J46" s="4">
        <v>3</v>
      </c>
      <c r="K46" s="4">
        <v>50</v>
      </c>
      <c r="L46" s="4">
        <v>20</v>
      </c>
      <c r="M46" s="4">
        <v>5</v>
      </c>
      <c r="N46" s="4">
        <v>3</v>
      </c>
      <c r="O46" s="9">
        <f>IF(COUNT(INDEX($I$6:$I$214,MATCH("042",$B$6:$B$214,0)),INDEX($J$6:$J$214,MATCH("042",$B$6:$B$214,0)))=2,INDEX($I$6:$I$214,MATCH("042",$B$6:$B$214,0))+14*INDEX($J$6:$J$214,MATCH("042",$B$6:$B$214,0))+15*INDEX($J$6:$J$214,MATCH("042",$B$6:$B$214,0))+70*INDEX($J$6:$J$214,MATCH("042",$B$6:$B$214,0)),"")</f>
        <v>299</v>
      </c>
      <c r="P46" s="9">
        <f>IF(COUNT(INDEX($K$6:$K$214,MATCH("042",$B$6:$B$214,0)),INDEX($L$6:$L$214,MATCH("042",$B$6:$B$214,0)))=2,INDEX($K$6:$K$214,MATCH("042",$B$6:$B$214,0))+14*INDEX($L$6:$L$214,MATCH("042",$B$6:$B$214,0))+15*INDEX($L$6:$L$214,MATCH("042",$B$6:$B$214,0))+70*INDEX($L$6:$L$214,MATCH("042",$B$6:$B$214,0)),"")</f>
        <v>2030</v>
      </c>
      <c r="Q46" s="9">
        <f>IF(COUNT(O46:P46)=2,O46*10+P46,"")</f>
        <v>5020</v>
      </c>
    </row>
    <row r="47" spans="2:17" ht="21.95" customHeight="1" x14ac:dyDescent="0.2">
      <c r="B47" s="4" t="s">
        <v>52</v>
      </c>
      <c r="C47" s="4" t="s">
        <v>53</v>
      </c>
      <c r="D47" s="4" t="s">
        <v>54</v>
      </c>
      <c r="E47" s="4" t="s">
        <v>20</v>
      </c>
      <c r="F47" s="4" t="s">
        <v>55</v>
      </c>
      <c r="G47" s="4" t="s">
        <v>22</v>
      </c>
      <c r="H47" s="4" t="s">
        <v>40</v>
      </c>
      <c r="I47" s="4">
        <v>4</v>
      </c>
      <c r="J47" s="4">
        <v>2</v>
      </c>
      <c r="K47" s="4">
        <v>90</v>
      </c>
      <c r="L47" s="4">
        <v>20</v>
      </c>
      <c r="M47" s="4">
        <v>8</v>
      </c>
      <c r="N47" s="4">
        <v>4</v>
      </c>
      <c r="O47" s="9">
        <f>IF(COUNT(INDEX($I$6:$I$214,MATCH("043",$B$6:$B$214,0)),INDEX($J$6:$J$214,MATCH("043",$B$6:$B$214,0)),INDEX($J$6:$J$214,MATCH("044",$B$6:$B$214,0)),INDEX($J$6:$J$214,MATCH("045",$B$6:$B$214,0)))=4,INDEX($I$6:$I$214,MATCH("043",$B$6:$B$214,0))+14*INDEX($J$6:$J$214,MATCH("043",$B$6:$B$214,0))+15*INDEX($J$6:$J$214,MATCH("044",$B$6:$B$214,0))+70*INDEX($J$6:$J$214,MATCH("045",$B$6:$B$214,0)),"")</f>
        <v>287</v>
      </c>
      <c r="P47" s="9">
        <f>IF(COUNT(INDEX($K$6:$K$214,MATCH("043",$B$6:$B$214,0)),INDEX($L$6:$L$214,MATCH("043",$B$6:$B$214,0)),INDEX($L$6:$L$214,MATCH("044",$B$6:$B$214,0)),INDEX($L$6:$L$214,MATCH("045",$B$6:$B$214,0)))=4,INDEX($K$6:$K$214,MATCH("043",$B$6:$B$214,0))+14*INDEX($L$6:$L$214,MATCH("043",$B$6:$B$214,0))+15*INDEX($L$6:$L$214,MATCH("044",$B$6:$B$214,0))+70*INDEX($L$6:$L$214,MATCH("045",$B$6:$B$214,0)),"")</f>
        <v>3620</v>
      </c>
      <c r="Q47" s="9">
        <f>IF(COUNT(O47:P47)=2,O47*10+P47,"")</f>
        <v>6490</v>
      </c>
    </row>
    <row r="48" spans="2:17" ht="21.95" customHeight="1" x14ac:dyDescent="0.2">
      <c r="B48" s="4" t="s">
        <v>56</v>
      </c>
      <c r="C48" s="4" t="s">
        <v>57</v>
      </c>
      <c r="D48" s="4" t="s">
        <v>54</v>
      </c>
      <c r="E48" s="4" t="s">
        <v>20</v>
      </c>
      <c r="F48" s="4" t="s">
        <v>31</v>
      </c>
      <c r="G48" s="4" t="s">
        <v>32</v>
      </c>
      <c r="H48" s="4" t="s">
        <v>40</v>
      </c>
      <c r="I48" s="4" t="s">
        <v>31</v>
      </c>
      <c r="J48" s="4">
        <v>3</v>
      </c>
      <c r="K48" s="4" t="s">
        <v>31</v>
      </c>
      <c r="L48" s="4">
        <v>30</v>
      </c>
      <c r="M48" s="4" t="s">
        <v>31</v>
      </c>
      <c r="N48" s="4">
        <v>4</v>
      </c>
      <c r="O48" s="9">
        <f>IF(COUNT(INDEX($I$6:$I$214,MATCH("043",$B$6:$B$214,0)),INDEX($J$6:$J$214,MATCH("043",$B$6:$B$214,0)),INDEX($J$6:$J$214,MATCH("044",$B$6:$B$214,0)),INDEX($J$6:$J$214,MATCH("045",$B$6:$B$214,0)))=4,INDEX($I$6:$I$214,MATCH("043",$B$6:$B$214,0))+14*INDEX($J$6:$J$214,MATCH("043",$B$6:$B$214,0))+15*INDEX($J$6:$J$214,MATCH("044",$B$6:$B$214,0))+70*INDEX($J$6:$J$214,MATCH("045",$B$6:$B$214,0)),"")</f>
        <v>287</v>
      </c>
      <c r="P48" s="9">
        <f>IF(COUNT(INDEX($K$6:$K$214,MATCH("043",$B$6:$B$214,0)),INDEX($L$6:$L$214,MATCH("043",$B$6:$B$214,0)),INDEX($L$6:$L$214,MATCH("044",$B$6:$B$214,0)),INDEX($L$6:$L$214,MATCH("045",$B$6:$B$214,0)))=4,INDEX($K$6:$K$214,MATCH("043",$B$6:$B$214,0))+14*INDEX($L$6:$L$214,MATCH("043",$B$6:$B$214,0))+15*INDEX($L$6:$L$214,MATCH("044",$B$6:$B$214,0))+70*INDEX($L$6:$L$214,MATCH("045",$B$6:$B$214,0)),"")</f>
        <v>3620</v>
      </c>
      <c r="Q48" s="9">
        <f>IF(COUNT(O48:P48)=2,O48*10+P48,"")</f>
        <v>6490</v>
      </c>
    </row>
    <row r="49" spans="2:17" ht="21.95" customHeight="1" x14ac:dyDescent="0.2">
      <c r="B49" s="4" t="s">
        <v>58</v>
      </c>
      <c r="C49" s="4" t="s">
        <v>59</v>
      </c>
      <c r="D49" s="4" t="s">
        <v>54</v>
      </c>
      <c r="E49" s="4" t="s">
        <v>20</v>
      </c>
      <c r="F49" s="4" t="s">
        <v>31</v>
      </c>
      <c r="G49" s="4" t="s">
        <v>35</v>
      </c>
      <c r="H49" s="4" t="s">
        <v>40</v>
      </c>
      <c r="I49" s="4" t="s">
        <v>31</v>
      </c>
      <c r="J49" s="4">
        <v>3</v>
      </c>
      <c r="K49" s="4" t="s">
        <v>31</v>
      </c>
      <c r="L49" s="4">
        <v>40</v>
      </c>
      <c r="M49" s="4" t="s">
        <v>31</v>
      </c>
      <c r="N49" s="4">
        <v>4</v>
      </c>
      <c r="O49" s="9">
        <f>IF(COUNT(INDEX($I$6:$I$214,MATCH("043",$B$6:$B$214,0)),INDEX($J$6:$J$214,MATCH("043",$B$6:$B$214,0)),INDEX($J$6:$J$214,MATCH("044",$B$6:$B$214,0)),INDEX($J$6:$J$214,MATCH("045",$B$6:$B$214,0)))=4,INDEX($I$6:$I$214,MATCH("043",$B$6:$B$214,0))+14*INDEX($J$6:$J$214,MATCH("043",$B$6:$B$214,0))+15*INDEX($J$6:$J$214,MATCH("044",$B$6:$B$214,0))+70*INDEX($J$6:$J$214,MATCH("045",$B$6:$B$214,0)),"")</f>
        <v>287</v>
      </c>
      <c r="P49" s="9">
        <f>IF(COUNT(INDEX($K$6:$K$214,MATCH("043",$B$6:$B$214,0)),INDEX($L$6:$L$214,MATCH("043",$B$6:$B$214,0)),INDEX($L$6:$L$214,MATCH("044",$B$6:$B$214,0)),INDEX($L$6:$L$214,MATCH("045",$B$6:$B$214,0)))=4,INDEX($K$6:$K$214,MATCH("043",$B$6:$B$214,0))+14*INDEX($L$6:$L$214,MATCH("043",$B$6:$B$214,0))+15*INDEX($L$6:$L$214,MATCH("044",$B$6:$B$214,0))+70*INDEX($L$6:$L$214,MATCH("045",$B$6:$B$214,0)),"")</f>
        <v>3620</v>
      </c>
      <c r="Q49" s="9">
        <f>IF(COUNT(O49:P49)=2,O49*10+P49,"")</f>
        <v>6490</v>
      </c>
    </row>
    <row r="50" spans="2:17" ht="21.95" customHeight="1" x14ac:dyDescent="0.2">
      <c r="B50" s="4" t="s">
        <v>293</v>
      </c>
      <c r="C50" s="4" t="s">
        <v>294</v>
      </c>
      <c r="D50" s="4" t="s">
        <v>54</v>
      </c>
      <c r="E50" s="4" t="s">
        <v>20</v>
      </c>
      <c r="F50" s="4" t="s">
        <v>55</v>
      </c>
      <c r="G50" s="4" t="s">
        <v>22</v>
      </c>
      <c r="H50" s="4" t="s">
        <v>40</v>
      </c>
      <c r="I50" s="4">
        <v>3</v>
      </c>
      <c r="J50" s="4">
        <v>1</v>
      </c>
      <c r="K50" s="4">
        <v>100</v>
      </c>
      <c r="L50" s="4">
        <v>20</v>
      </c>
      <c r="M50" s="4">
        <v>9</v>
      </c>
      <c r="N50" s="4">
        <v>2</v>
      </c>
      <c r="O50" s="9">
        <f>IF(COUNT(INDEX($I$6:$I$214,MATCH("046",$B$6:$B$214,0)),INDEX($J$6:$J$214,MATCH("046",$B$6:$B$214,0)),INDEX($J$6:$J$214,MATCH("047",$B$6:$B$214,0)))=3,INDEX($I$6:$I$214,MATCH("046",$B$6:$B$214,0))+14*INDEX($J$6:$J$214,MATCH("046",$B$6:$B$214,0))+15*INDEX($J$6:$J$214,MATCH("047",$B$6:$B$214,0))+70*INDEX($J$6:$J$214,MATCH("047",$B$6:$B$214,0)),"")</f>
        <v>272</v>
      </c>
      <c r="P50" s="9">
        <f>IF(COUNT(INDEX($K$6:$K$214,MATCH("046",$B$6:$B$214,0)),INDEX($L$6:$L$214,MATCH("046",$B$6:$B$214,0)),INDEX($L$6:$L$214,MATCH("047",$B$6:$B$214,0)))=3,INDEX($K$6:$K$214,MATCH("046",$B$6:$B$214,0))+14*INDEX($L$6:$L$214,MATCH("046",$B$6:$B$214,0))+15*INDEX($L$6:$L$214,MATCH("047",$B$6:$B$214,0))+70*INDEX($L$6:$L$214,MATCH("047",$B$6:$B$214,0)),"")</f>
        <v>3780</v>
      </c>
      <c r="Q50" s="9">
        <f>IF(COUNT(O50:P50)=2,O50*10+P50,"")</f>
        <v>6500</v>
      </c>
    </row>
    <row r="51" spans="2:17" ht="21.95" customHeight="1" x14ac:dyDescent="0.2">
      <c r="B51" s="4" t="s">
        <v>295</v>
      </c>
      <c r="C51" s="4" t="s">
        <v>296</v>
      </c>
      <c r="D51" s="4" t="s">
        <v>54</v>
      </c>
      <c r="E51" s="4" t="s">
        <v>20</v>
      </c>
      <c r="F51" s="4" t="s">
        <v>31</v>
      </c>
      <c r="G51" s="4" t="s">
        <v>32</v>
      </c>
      <c r="H51" s="4" t="s">
        <v>40</v>
      </c>
      <c r="I51" s="4" t="s">
        <v>31</v>
      </c>
      <c r="J51" s="4">
        <v>3</v>
      </c>
      <c r="K51" s="4" t="s">
        <v>31</v>
      </c>
      <c r="L51" s="4">
        <v>40</v>
      </c>
      <c r="M51" s="4" t="s">
        <v>31</v>
      </c>
      <c r="N51" s="4">
        <v>3</v>
      </c>
      <c r="O51" s="9">
        <f>IF(COUNT(INDEX($I$6:$I$214,MATCH("046",$B$6:$B$214,0)),INDEX($J$6:$J$214,MATCH("046",$B$6:$B$214,0)),INDEX($J$6:$J$214,MATCH("047",$B$6:$B$214,0)))=3,INDEX($I$6:$I$214,MATCH("046",$B$6:$B$214,0))+14*INDEX($J$6:$J$214,MATCH("046",$B$6:$B$214,0))+15*INDEX($J$6:$J$214,MATCH("047",$B$6:$B$214,0))+70*INDEX($J$6:$J$214,MATCH("047",$B$6:$B$214,0)),"")</f>
        <v>272</v>
      </c>
      <c r="P51" s="9">
        <f>IF(COUNT(INDEX($K$6:$K$214,MATCH("046",$B$6:$B$214,0)),INDEX($L$6:$L$214,MATCH("046",$B$6:$B$214,0)),INDEX($L$6:$L$214,MATCH("047",$B$6:$B$214,0)))=3,INDEX($K$6:$K$214,MATCH("046",$B$6:$B$214,0))+14*INDEX($L$6:$L$214,MATCH("046",$B$6:$B$214,0))+15*INDEX($L$6:$L$214,MATCH("047",$B$6:$B$214,0))+70*INDEX($L$6:$L$214,MATCH("047",$B$6:$B$214,0)),"")</f>
        <v>3780</v>
      </c>
      <c r="Q51" s="9">
        <f>IF(COUNT(O51:P51)=2,O51*10+P51,"")</f>
        <v>6500</v>
      </c>
    </row>
    <row r="52" spans="2:17" ht="21.95" customHeight="1" x14ac:dyDescent="0.2">
      <c r="B52" s="4" t="s">
        <v>97</v>
      </c>
      <c r="C52" s="4" t="s">
        <v>98</v>
      </c>
      <c r="D52" s="4" t="s">
        <v>54</v>
      </c>
      <c r="E52" s="4" t="s">
        <v>20</v>
      </c>
      <c r="F52" s="4" t="s">
        <v>55</v>
      </c>
      <c r="G52" s="4" t="s">
        <v>22</v>
      </c>
      <c r="H52" s="4" t="s">
        <v>40</v>
      </c>
      <c r="I52" s="4">
        <v>4</v>
      </c>
      <c r="J52" s="4">
        <v>2</v>
      </c>
      <c r="K52" s="4">
        <v>90</v>
      </c>
      <c r="L52" s="4">
        <v>20</v>
      </c>
      <c r="M52" s="4">
        <v>8</v>
      </c>
      <c r="N52" s="4">
        <v>5</v>
      </c>
      <c r="O52" s="9">
        <f>IF(COUNT(INDEX($I$6:$I$214,MATCH("048",$B$6:$B$214,0)),INDEX($J$6:$J$214,MATCH("048",$B$6:$B$214,0)),INDEX($J$6:$J$214,MATCH("049",$B$6:$B$214,0)))=3,INDEX($I$6:$I$214,MATCH("048",$B$6:$B$214,0))+14*INDEX($J$6:$J$214,MATCH("048",$B$6:$B$214,0))+15*INDEX($J$6:$J$214,MATCH("049",$B$6:$B$214,0))+70*INDEX($J$6:$J$214,MATCH("049",$B$6:$B$214,0)),"")</f>
        <v>287</v>
      </c>
      <c r="P52" s="9">
        <f>IF(COUNT(INDEX($K$6:$K$214,MATCH("048",$B$6:$B$214,0)),INDEX($L$6:$L$214,MATCH("048",$B$6:$B$214,0)),INDEX($L$6:$L$214,MATCH("049",$B$6:$B$214,0)))=3,INDEX($K$6:$K$214,MATCH("048",$B$6:$B$214,0))+14*INDEX($L$6:$L$214,MATCH("048",$B$6:$B$214,0))+15*INDEX($L$6:$L$214,MATCH("049",$B$6:$B$214,0))+70*INDEX($L$6:$L$214,MATCH("049",$B$6:$B$214,0)),"")</f>
        <v>2920</v>
      </c>
      <c r="Q52" s="9">
        <f>IF(COUNT(O52:P52)=2,O52*10+P52,"")</f>
        <v>5790</v>
      </c>
    </row>
    <row r="53" spans="2:17" ht="21.95" customHeight="1" x14ac:dyDescent="0.2">
      <c r="B53" s="4" t="s">
        <v>99</v>
      </c>
      <c r="C53" s="4" t="s">
        <v>100</v>
      </c>
      <c r="D53" s="4" t="s">
        <v>54</v>
      </c>
      <c r="E53" s="4" t="s">
        <v>20</v>
      </c>
      <c r="F53" s="4" t="s">
        <v>31</v>
      </c>
      <c r="G53" s="4" t="s">
        <v>32</v>
      </c>
      <c r="H53" s="4" t="s">
        <v>40</v>
      </c>
      <c r="I53" s="4" t="s">
        <v>31</v>
      </c>
      <c r="J53" s="4">
        <v>3</v>
      </c>
      <c r="K53" s="4" t="s">
        <v>31</v>
      </c>
      <c r="L53" s="4">
        <v>30</v>
      </c>
      <c r="M53" s="4" t="s">
        <v>31</v>
      </c>
      <c r="N53" s="4">
        <v>5</v>
      </c>
      <c r="O53" s="9">
        <f>IF(COUNT(INDEX($I$6:$I$214,MATCH("048",$B$6:$B$214,0)),INDEX($J$6:$J$214,MATCH("048",$B$6:$B$214,0)),INDEX($J$6:$J$214,MATCH("049",$B$6:$B$214,0)))=3,INDEX($I$6:$I$214,MATCH("048",$B$6:$B$214,0))+14*INDEX($J$6:$J$214,MATCH("048",$B$6:$B$214,0))+15*INDEX($J$6:$J$214,MATCH("049",$B$6:$B$214,0))+70*INDEX($J$6:$J$214,MATCH("049",$B$6:$B$214,0)),"")</f>
        <v>287</v>
      </c>
      <c r="P53" s="9">
        <f>IF(COUNT(INDEX($K$6:$K$214,MATCH("048",$B$6:$B$214,0)),INDEX($L$6:$L$214,MATCH("048",$B$6:$B$214,0)),INDEX($L$6:$L$214,MATCH("049",$B$6:$B$214,0)))=3,INDEX($K$6:$K$214,MATCH("048",$B$6:$B$214,0))+14*INDEX($L$6:$L$214,MATCH("048",$B$6:$B$214,0))+15*INDEX($L$6:$L$214,MATCH("049",$B$6:$B$214,0))+70*INDEX($L$6:$L$214,MATCH("049",$B$6:$B$214,0)),"")</f>
        <v>2920</v>
      </c>
      <c r="Q53" s="9">
        <f>IF(COUNT(O53:P53)=2,O53*10+P53,"")</f>
        <v>5790</v>
      </c>
    </row>
    <row r="54" spans="2:17" ht="21.95" customHeight="1" x14ac:dyDescent="0.2">
      <c r="B54" s="4" t="s">
        <v>413</v>
      </c>
      <c r="C54" s="4" t="s">
        <v>414</v>
      </c>
      <c r="D54" s="4" t="s">
        <v>54</v>
      </c>
      <c r="E54" s="4" t="s">
        <v>20</v>
      </c>
      <c r="F54" s="4" t="s">
        <v>55</v>
      </c>
      <c r="G54" s="4" t="s">
        <v>22</v>
      </c>
      <c r="H54" s="4" t="s">
        <v>40</v>
      </c>
      <c r="I54" s="4">
        <v>5</v>
      </c>
      <c r="J54" s="4">
        <v>4</v>
      </c>
      <c r="K54" s="4">
        <v>50</v>
      </c>
      <c r="L54" s="4">
        <v>25</v>
      </c>
      <c r="M54" s="4">
        <v>8</v>
      </c>
      <c r="N54" s="4">
        <v>4</v>
      </c>
      <c r="O54" s="9">
        <f>IF(COUNT(INDEX($I$6:$I$214,MATCH("050",$B$6:$B$214,0)),INDEX($J$6:$J$214,MATCH("050",$B$6:$B$214,0)))=2,INDEX($I$6:$I$214,MATCH("050",$B$6:$B$214,0))+14*INDEX($J$6:$J$214,MATCH("050",$B$6:$B$214,0))+15*INDEX($J$6:$J$214,MATCH("050",$B$6:$B$214,0))+70*INDEX($J$6:$J$214,MATCH("050",$B$6:$B$214,0)),"")</f>
        <v>401</v>
      </c>
      <c r="P54" s="9">
        <f>IF(COUNT(INDEX($K$6:$K$214,MATCH("050",$B$6:$B$214,0)),INDEX($L$6:$L$214,MATCH("050",$B$6:$B$214,0)))=2,INDEX($K$6:$K$214,MATCH("050",$B$6:$B$214,0))+14*INDEX($L$6:$L$214,MATCH("050",$B$6:$B$214,0))+15*INDEX($L$6:$L$214,MATCH("050",$B$6:$B$214,0))+70*INDEX($L$6:$L$214,MATCH("050",$B$6:$B$214,0)),"")</f>
        <v>2525</v>
      </c>
      <c r="Q54" s="9">
        <f>IF(COUNT(O54:P54)=2,O54*10+P54,"")</f>
        <v>6535</v>
      </c>
    </row>
    <row r="55" spans="2:17" ht="21.95" customHeight="1" x14ac:dyDescent="0.2">
      <c r="B55" s="4" t="s">
        <v>239</v>
      </c>
      <c r="C55" s="4" t="s">
        <v>240</v>
      </c>
      <c r="D55" s="4" t="s">
        <v>54</v>
      </c>
      <c r="E55" s="4" t="s">
        <v>20</v>
      </c>
      <c r="F55" s="4" t="s">
        <v>55</v>
      </c>
      <c r="G55" s="4" t="s">
        <v>22</v>
      </c>
      <c r="H55" s="4" t="s">
        <v>40</v>
      </c>
      <c r="I55" s="4">
        <v>2</v>
      </c>
      <c r="J55" s="4">
        <v>4</v>
      </c>
      <c r="K55" s="4">
        <v>20</v>
      </c>
      <c r="L55" s="4">
        <v>30</v>
      </c>
      <c r="M55" s="4">
        <v>2</v>
      </c>
      <c r="N55" s="4">
        <v>2</v>
      </c>
      <c r="O55" s="9">
        <f>IF(COUNT(INDEX($I$6:$I$214,MATCH("051",$B$6:$B$214,0)),INDEX($J$6:$J$214,MATCH("051",$B$6:$B$214,0)))=2,INDEX($I$6:$I$214,MATCH("051",$B$6:$B$214,0))+14*INDEX($J$6:$J$214,MATCH("051",$B$6:$B$214,0))+15*INDEX($J$6:$J$214,MATCH("051",$B$6:$B$214,0))+70*INDEX($J$6:$J$214,MATCH("051",$B$6:$B$214,0)),"")</f>
        <v>398</v>
      </c>
      <c r="P55" s="9">
        <f>IF(COUNT(INDEX($K$6:$K$214,MATCH("051",$B$6:$B$214,0)),INDEX($L$6:$L$214,MATCH("051",$B$6:$B$214,0)))=2,INDEX($K$6:$K$214,MATCH("051",$B$6:$B$214,0))+14*INDEX($L$6:$L$214,MATCH("051",$B$6:$B$214,0))+15*INDEX($L$6:$L$214,MATCH("051",$B$6:$B$214,0))+70*INDEX($L$6:$L$214,MATCH("051",$B$6:$B$214,0)),"")</f>
        <v>2990</v>
      </c>
      <c r="Q55" s="9">
        <f>IF(COUNT(O55:P55)=2,O55*10+P55,"")</f>
        <v>6970</v>
      </c>
    </row>
    <row r="56" spans="2:17" ht="21.95" customHeight="1" x14ac:dyDescent="0.2">
      <c r="B56" s="4" t="s">
        <v>136</v>
      </c>
      <c r="C56" s="4" t="s">
        <v>137</v>
      </c>
      <c r="D56" s="4" t="s">
        <v>54</v>
      </c>
      <c r="E56" s="4" t="s">
        <v>27</v>
      </c>
      <c r="F56" s="4" t="s">
        <v>21</v>
      </c>
      <c r="G56" s="4" t="s">
        <v>22</v>
      </c>
      <c r="H56" s="4" t="s">
        <v>23</v>
      </c>
      <c r="I56" s="4">
        <v>3</v>
      </c>
      <c r="J56" s="4">
        <v>3</v>
      </c>
      <c r="K56" s="4">
        <v>80</v>
      </c>
      <c r="L56" s="4">
        <v>20</v>
      </c>
      <c r="M56" s="4">
        <v>5</v>
      </c>
      <c r="N56" s="4">
        <v>2</v>
      </c>
      <c r="O56" s="9">
        <f>IF(COUNT(INDEX($I$6:$I$214,MATCH("052",$B$6:$B$214,0)),INDEX($J$6:$J$214,MATCH("052",$B$6:$B$214,0)),INDEX($J$6:$J$214,MATCH("053",$B$6:$B$214,0)),INDEX($J$6:$J$214,MATCH("054",$B$6:$B$214,0)))=4,INDEX($I$6:$I$214,MATCH("052",$B$6:$B$214,0))+14*INDEX($J$6:$J$214,MATCH("052",$B$6:$B$214,0))+15*INDEX($J$6:$J$214,MATCH("053",$B$6:$B$214,0))+70*INDEX($J$6:$J$214,MATCH("054",$B$6:$B$214,0)),"")</f>
        <v>385</v>
      </c>
      <c r="P56" s="9">
        <f>IF(COUNT(INDEX($K$6:$K$214,MATCH("052",$B$6:$B$214,0)),INDEX($L$6:$L$214,MATCH("052",$B$6:$B$214,0)),INDEX($L$6:$L$214,MATCH("053",$B$6:$B$214,0)),INDEX($L$6:$L$214,MATCH("054",$B$6:$B$214,0)))=4,INDEX($K$6:$K$214,MATCH("052",$B$6:$B$214,0))+14*INDEX($L$6:$L$214,MATCH("052",$B$6:$B$214,0))+15*INDEX($L$6:$L$214,MATCH("053",$B$6:$B$214,0))+70*INDEX($L$6:$L$214,MATCH("054",$B$6:$B$214,0)),"")</f>
        <v>2760</v>
      </c>
      <c r="Q56" s="9">
        <f>IF(COUNT(O56:P56)=2,O56*10+P56,"")</f>
        <v>6610</v>
      </c>
    </row>
    <row r="57" spans="2:17" ht="21.95" customHeight="1" x14ac:dyDescent="0.2">
      <c r="B57" s="4" t="s">
        <v>138</v>
      </c>
      <c r="C57" s="4" t="s">
        <v>139</v>
      </c>
      <c r="D57" s="4" t="s">
        <v>54</v>
      </c>
      <c r="E57" s="4" t="s">
        <v>27</v>
      </c>
      <c r="F57" s="4" t="s">
        <v>31</v>
      </c>
      <c r="G57" s="4" t="s">
        <v>32</v>
      </c>
      <c r="H57" s="4" t="s">
        <v>23</v>
      </c>
      <c r="I57" s="4" t="s">
        <v>31</v>
      </c>
      <c r="J57" s="4">
        <v>4</v>
      </c>
      <c r="K57" s="4" t="s">
        <v>31</v>
      </c>
      <c r="L57" s="4">
        <v>20</v>
      </c>
      <c r="M57" s="4" t="s">
        <v>31</v>
      </c>
      <c r="N57" s="4">
        <v>2</v>
      </c>
      <c r="O57" s="9">
        <f>IF(COUNT(INDEX($I$6:$I$214,MATCH("052",$B$6:$B$214,0)),INDEX($J$6:$J$214,MATCH("052",$B$6:$B$214,0)),INDEX($J$6:$J$214,MATCH("053",$B$6:$B$214,0)),INDEX($J$6:$J$214,MATCH("054",$B$6:$B$214,0)))=4,INDEX($I$6:$I$214,MATCH("052",$B$6:$B$214,0))+14*INDEX($J$6:$J$214,MATCH("052",$B$6:$B$214,0))+15*INDEX($J$6:$J$214,MATCH("053",$B$6:$B$214,0))+70*INDEX($J$6:$J$214,MATCH("054",$B$6:$B$214,0)),"")</f>
        <v>385</v>
      </c>
      <c r="P57" s="9">
        <f>IF(COUNT(INDEX($K$6:$K$214,MATCH("052",$B$6:$B$214,0)),INDEX($L$6:$L$214,MATCH("052",$B$6:$B$214,0)),INDEX($L$6:$L$214,MATCH("053",$B$6:$B$214,0)),INDEX($L$6:$L$214,MATCH("054",$B$6:$B$214,0)))=4,INDEX($K$6:$K$214,MATCH("052",$B$6:$B$214,0))+14*INDEX($L$6:$L$214,MATCH("052",$B$6:$B$214,0))+15*INDEX($L$6:$L$214,MATCH("053",$B$6:$B$214,0))+70*INDEX($L$6:$L$214,MATCH("054",$B$6:$B$214,0)),"")</f>
        <v>2760</v>
      </c>
      <c r="Q57" s="9">
        <f>IF(COUNT(O57:P57)=2,O57*10+P57,"")</f>
        <v>6610</v>
      </c>
    </row>
    <row r="58" spans="2:17" ht="21.95" customHeight="1" x14ac:dyDescent="0.2">
      <c r="B58" s="4" t="s">
        <v>140</v>
      </c>
      <c r="C58" s="4" t="s">
        <v>141</v>
      </c>
      <c r="D58" s="4" t="s">
        <v>54</v>
      </c>
      <c r="E58" s="4" t="s">
        <v>27</v>
      </c>
      <c r="F58" s="4" t="s">
        <v>31</v>
      </c>
      <c r="G58" s="4" t="s">
        <v>35</v>
      </c>
      <c r="H58" s="4" t="s">
        <v>23</v>
      </c>
      <c r="I58" s="4" t="s">
        <v>31</v>
      </c>
      <c r="J58" s="4">
        <v>4</v>
      </c>
      <c r="K58" s="4" t="s">
        <v>31</v>
      </c>
      <c r="L58" s="4">
        <v>30</v>
      </c>
      <c r="M58" s="4" t="s">
        <v>31</v>
      </c>
      <c r="N58" s="4">
        <v>3</v>
      </c>
      <c r="O58" s="9">
        <f>IF(COUNT(INDEX($I$6:$I$214,MATCH("052",$B$6:$B$214,0)),INDEX($J$6:$J$214,MATCH("052",$B$6:$B$214,0)),INDEX($J$6:$J$214,MATCH("053",$B$6:$B$214,0)),INDEX($J$6:$J$214,MATCH("054",$B$6:$B$214,0)))=4,INDEX($I$6:$I$214,MATCH("052",$B$6:$B$214,0))+14*INDEX($J$6:$J$214,MATCH("052",$B$6:$B$214,0))+15*INDEX($J$6:$J$214,MATCH("053",$B$6:$B$214,0))+70*INDEX($J$6:$J$214,MATCH("054",$B$6:$B$214,0)),"")</f>
        <v>385</v>
      </c>
      <c r="P58" s="9">
        <f>IF(COUNT(INDEX($K$6:$K$214,MATCH("052",$B$6:$B$214,0)),INDEX($L$6:$L$214,MATCH("052",$B$6:$B$214,0)),INDEX($L$6:$L$214,MATCH("053",$B$6:$B$214,0)),INDEX($L$6:$L$214,MATCH("054",$B$6:$B$214,0)))=4,INDEX($K$6:$K$214,MATCH("052",$B$6:$B$214,0))+14*INDEX($L$6:$L$214,MATCH("052",$B$6:$B$214,0))+15*INDEX($L$6:$L$214,MATCH("053",$B$6:$B$214,0))+70*INDEX($L$6:$L$214,MATCH("054",$B$6:$B$214,0)),"")</f>
        <v>2760</v>
      </c>
      <c r="Q58" s="9">
        <f>IF(COUNT(O58:P58)=2,O58*10+P58,"")</f>
        <v>6610</v>
      </c>
    </row>
    <row r="59" spans="2:17" ht="21.95" customHeight="1" x14ac:dyDescent="0.2">
      <c r="B59" s="4" t="s">
        <v>201</v>
      </c>
      <c r="C59" s="4" t="s">
        <v>202</v>
      </c>
      <c r="D59" s="4" t="s">
        <v>54</v>
      </c>
      <c r="E59" s="4" t="s">
        <v>27</v>
      </c>
      <c r="F59" s="4" t="s">
        <v>21</v>
      </c>
      <c r="G59" s="4" t="s">
        <v>22</v>
      </c>
      <c r="H59" s="4" t="s">
        <v>23</v>
      </c>
      <c r="I59" s="4">
        <v>4</v>
      </c>
      <c r="J59" s="4">
        <v>2</v>
      </c>
      <c r="K59" s="4">
        <v>60</v>
      </c>
      <c r="L59" s="4">
        <v>30</v>
      </c>
      <c r="M59" s="4">
        <v>8</v>
      </c>
      <c r="N59" s="4">
        <v>4</v>
      </c>
      <c r="O59" s="9">
        <f>IF(COUNT(INDEX($I$6:$I$214,MATCH("055",$B$6:$B$214,0)),INDEX($J$6:$J$214,MATCH("055",$B$6:$B$214,0)),INDEX($J$6:$J$214,MATCH("056",$B$6:$B$214,0)),INDEX($J$6:$J$214,MATCH("057",$B$6:$B$214,0)))=4,INDEX($I$6:$I$214,MATCH("055",$B$6:$B$214,0))+14*INDEX($J$6:$J$214,MATCH("055",$B$6:$B$214,0))+15*INDEX($J$6:$J$214,MATCH("056",$B$6:$B$214,0))+70*INDEX($J$6:$J$214,MATCH("057",$B$6:$B$214,0)),"")</f>
        <v>372</v>
      </c>
      <c r="P59" s="9">
        <f>IF(COUNT(INDEX($K$6:$K$214,MATCH("055",$B$6:$B$214,0)),INDEX($L$6:$L$214,MATCH("055",$B$6:$B$214,0)),INDEX($L$6:$L$214,MATCH("056",$B$6:$B$214,0)),INDEX($L$6:$L$214,MATCH("057",$B$6:$B$214,0)))=4,INDEX($K$6:$K$214,MATCH("055",$B$6:$B$214,0))+14*INDEX($L$6:$L$214,MATCH("055",$B$6:$B$214,0))+15*INDEX($L$6:$L$214,MATCH("056",$B$6:$B$214,0))+70*INDEX($L$6:$L$214,MATCH("057",$B$6:$B$214,0)),"")</f>
        <v>3730</v>
      </c>
      <c r="Q59" s="9">
        <f>IF(COUNT(O59:P59)=2,O59*10+P59,"")</f>
        <v>7450</v>
      </c>
    </row>
    <row r="60" spans="2:17" ht="21.95" customHeight="1" x14ac:dyDescent="0.2">
      <c r="B60" s="4" t="s">
        <v>203</v>
      </c>
      <c r="C60" s="4" t="s">
        <v>204</v>
      </c>
      <c r="D60" s="4" t="s">
        <v>54</v>
      </c>
      <c r="E60" s="4" t="s">
        <v>27</v>
      </c>
      <c r="F60" s="4" t="s">
        <v>31</v>
      </c>
      <c r="G60" s="4" t="s">
        <v>32</v>
      </c>
      <c r="H60" s="4" t="s">
        <v>23</v>
      </c>
      <c r="I60" s="4" t="s">
        <v>31</v>
      </c>
      <c r="J60" s="4">
        <v>4</v>
      </c>
      <c r="K60" s="4" t="s">
        <v>31</v>
      </c>
      <c r="L60" s="4">
        <v>30</v>
      </c>
      <c r="M60" s="4" t="s">
        <v>31</v>
      </c>
      <c r="N60" s="4">
        <v>4</v>
      </c>
      <c r="O60" s="9">
        <f>IF(COUNT(INDEX($I$6:$I$214,MATCH("055",$B$6:$B$214,0)),INDEX($J$6:$J$214,MATCH("055",$B$6:$B$214,0)),INDEX($J$6:$J$214,MATCH("056",$B$6:$B$214,0)),INDEX($J$6:$J$214,MATCH("057",$B$6:$B$214,0)))=4,INDEX($I$6:$I$214,MATCH("055",$B$6:$B$214,0))+14*INDEX($J$6:$J$214,MATCH("055",$B$6:$B$214,0))+15*INDEX($J$6:$J$214,MATCH("056",$B$6:$B$214,0))+70*INDEX($J$6:$J$214,MATCH("057",$B$6:$B$214,0)),"")</f>
        <v>372</v>
      </c>
      <c r="P60" s="9">
        <f>IF(COUNT(INDEX($K$6:$K$214,MATCH("055",$B$6:$B$214,0)),INDEX($L$6:$L$214,MATCH("055",$B$6:$B$214,0)),INDEX($L$6:$L$214,MATCH("056",$B$6:$B$214,0)),INDEX($L$6:$L$214,MATCH("057",$B$6:$B$214,0)))=4,INDEX($K$6:$K$214,MATCH("055",$B$6:$B$214,0))+14*INDEX($L$6:$L$214,MATCH("055",$B$6:$B$214,0))+15*INDEX($L$6:$L$214,MATCH("056",$B$6:$B$214,0))+70*INDEX($L$6:$L$214,MATCH("057",$B$6:$B$214,0)),"")</f>
        <v>3730</v>
      </c>
      <c r="Q60" s="9">
        <f>IF(COUNT(O60:P60)=2,O60*10+P60,"")</f>
        <v>7450</v>
      </c>
    </row>
    <row r="61" spans="2:17" ht="21.95" customHeight="1" x14ac:dyDescent="0.2">
      <c r="B61" s="4" t="s">
        <v>205</v>
      </c>
      <c r="C61" s="4" t="s">
        <v>206</v>
      </c>
      <c r="D61" s="4" t="s">
        <v>54</v>
      </c>
      <c r="E61" s="4" t="s">
        <v>27</v>
      </c>
      <c r="F61" s="4" t="s">
        <v>31</v>
      </c>
      <c r="G61" s="4" t="s">
        <v>35</v>
      </c>
      <c r="H61" s="4" t="s">
        <v>23</v>
      </c>
      <c r="I61" s="4" t="s">
        <v>31</v>
      </c>
      <c r="J61" s="4">
        <v>4</v>
      </c>
      <c r="K61" s="4" t="s">
        <v>31</v>
      </c>
      <c r="L61" s="4">
        <v>40</v>
      </c>
      <c r="M61" s="4" t="s">
        <v>31</v>
      </c>
      <c r="N61" s="4">
        <v>6</v>
      </c>
      <c r="O61" s="9">
        <f>IF(COUNT(INDEX($I$6:$I$214,MATCH("055",$B$6:$B$214,0)),INDEX($J$6:$J$214,MATCH("055",$B$6:$B$214,0)),INDEX($J$6:$J$214,MATCH("056",$B$6:$B$214,0)),INDEX($J$6:$J$214,MATCH("057",$B$6:$B$214,0)))=4,INDEX($I$6:$I$214,MATCH("055",$B$6:$B$214,0))+14*INDEX($J$6:$J$214,MATCH("055",$B$6:$B$214,0))+15*INDEX($J$6:$J$214,MATCH("056",$B$6:$B$214,0))+70*INDEX($J$6:$J$214,MATCH("057",$B$6:$B$214,0)),"")</f>
        <v>372</v>
      </c>
      <c r="P61" s="9">
        <f>IF(COUNT(INDEX($K$6:$K$214,MATCH("055",$B$6:$B$214,0)),INDEX($L$6:$L$214,MATCH("055",$B$6:$B$214,0)),INDEX($L$6:$L$214,MATCH("056",$B$6:$B$214,0)),INDEX($L$6:$L$214,MATCH("057",$B$6:$B$214,0)))=4,INDEX($K$6:$K$214,MATCH("055",$B$6:$B$214,0))+14*INDEX($L$6:$L$214,MATCH("055",$B$6:$B$214,0))+15*INDEX($L$6:$L$214,MATCH("056",$B$6:$B$214,0))+70*INDEX($L$6:$L$214,MATCH("057",$B$6:$B$214,0)),"")</f>
        <v>3730</v>
      </c>
      <c r="Q61" s="9">
        <f>IF(COUNT(O61:P61)=2,O61*10+P61,"")</f>
        <v>7450</v>
      </c>
    </row>
    <row r="62" spans="2:17" ht="21.95" customHeight="1" x14ac:dyDescent="0.2">
      <c r="B62" s="4" t="s">
        <v>225</v>
      </c>
      <c r="C62" s="4" t="s">
        <v>226</v>
      </c>
      <c r="D62" s="4" t="s">
        <v>54</v>
      </c>
      <c r="E62" s="4" t="s">
        <v>27</v>
      </c>
      <c r="F62" s="4" t="s">
        <v>21</v>
      </c>
      <c r="G62" s="4" t="s">
        <v>22</v>
      </c>
      <c r="H62" s="4" t="s">
        <v>23</v>
      </c>
      <c r="I62" s="4">
        <v>1</v>
      </c>
      <c r="J62" s="4">
        <v>1</v>
      </c>
      <c r="K62" s="4">
        <v>10</v>
      </c>
      <c r="L62" s="4">
        <v>10</v>
      </c>
      <c r="M62" s="4">
        <v>1</v>
      </c>
      <c r="N62" s="4">
        <v>1</v>
      </c>
      <c r="O62" s="9">
        <f>IF(COUNT(INDEX($I$6:$I$214,MATCH("058",$B$6:$B$214,0)),INDEX($J$6:$J$214,MATCH("058",$B$6:$B$214,0)),INDEX($J$6:$J$214,MATCH("059",$B$6:$B$214,0)))=3,INDEX($I$6:$I$214,MATCH("058",$B$6:$B$214,0))+14*INDEX($J$6:$J$214,MATCH("058",$B$6:$B$214,0))+15*INDEX($J$6:$J$214,MATCH("059",$B$6:$B$214,0))+70*INDEX($J$6:$J$214,MATCH("059",$B$6:$B$214,0)),"")</f>
        <v>355</v>
      </c>
      <c r="P62" s="9">
        <f>IF(COUNT(INDEX($K$6:$K$214,MATCH("058",$B$6:$B$214,0)),INDEX($L$6:$L$214,MATCH("058",$B$6:$B$214,0)),INDEX($L$6:$L$214,MATCH("059",$B$6:$B$214,0)))=3,INDEX($K$6:$K$214,MATCH("058",$B$6:$B$214,0))+14*INDEX($L$6:$L$214,MATCH("058",$B$6:$B$214,0))+15*INDEX($L$6:$L$214,MATCH("059",$B$6:$B$214,0))+70*INDEX($L$6:$L$214,MATCH("059",$B$6:$B$214,0)),"")</f>
        <v>3550</v>
      </c>
      <c r="Q62" s="9">
        <f>IF(COUNT(O62:P62)=2,O62*10+P62,"")</f>
        <v>7100</v>
      </c>
    </row>
    <row r="63" spans="2:17" ht="21.95" customHeight="1" x14ac:dyDescent="0.2">
      <c r="B63" s="4" t="s">
        <v>227</v>
      </c>
      <c r="C63" s="4" t="s">
        <v>228</v>
      </c>
      <c r="D63" s="4" t="s">
        <v>54</v>
      </c>
      <c r="E63" s="4" t="s">
        <v>27</v>
      </c>
      <c r="F63" s="4" t="s">
        <v>31</v>
      </c>
      <c r="G63" s="4" t="s">
        <v>32</v>
      </c>
      <c r="H63" s="4" t="s">
        <v>23</v>
      </c>
      <c r="I63" s="4" t="s">
        <v>31</v>
      </c>
      <c r="J63" s="4">
        <v>4</v>
      </c>
      <c r="K63" s="4" t="s">
        <v>31</v>
      </c>
      <c r="L63" s="4">
        <v>40</v>
      </c>
      <c r="M63" s="4" t="s">
        <v>31</v>
      </c>
      <c r="N63" s="4">
        <v>6</v>
      </c>
      <c r="O63" s="9">
        <f>IF(COUNT(INDEX($I$6:$I$214,MATCH("058",$B$6:$B$214,0)),INDEX($J$6:$J$214,MATCH("058",$B$6:$B$214,0)),INDEX($J$6:$J$214,MATCH("059",$B$6:$B$214,0)))=3,INDEX($I$6:$I$214,MATCH("058",$B$6:$B$214,0))+14*INDEX($J$6:$J$214,MATCH("058",$B$6:$B$214,0))+15*INDEX($J$6:$J$214,MATCH("059",$B$6:$B$214,0))+70*INDEX($J$6:$J$214,MATCH("059",$B$6:$B$214,0)),"")</f>
        <v>355</v>
      </c>
      <c r="P63" s="9">
        <f>IF(COUNT(INDEX($K$6:$K$214,MATCH("058",$B$6:$B$214,0)),INDEX($L$6:$L$214,MATCH("058",$B$6:$B$214,0)),INDEX($L$6:$L$214,MATCH("059",$B$6:$B$214,0)))=3,INDEX($K$6:$K$214,MATCH("058",$B$6:$B$214,0))+14*INDEX($L$6:$L$214,MATCH("058",$B$6:$B$214,0))+15*INDEX($L$6:$L$214,MATCH("059",$B$6:$B$214,0))+70*INDEX($L$6:$L$214,MATCH("059",$B$6:$B$214,0)),"")</f>
        <v>3550</v>
      </c>
      <c r="Q63" s="9">
        <f>IF(COUNT(O63:P63)=2,O63*10+P63,"")</f>
        <v>7100</v>
      </c>
    </row>
    <row r="64" spans="2:17" ht="21.95" customHeight="1" x14ac:dyDescent="0.2">
      <c r="B64" s="4" t="s">
        <v>335</v>
      </c>
      <c r="C64" s="4" t="s">
        <v>336</v>
      </c>
      <c r="D64" s="4" t="s">
        <v>54</v>
      </c>
      <c r="E64" s="4" t="s">
        <v>27</v>
      </c>
      <c r="F64" s="4" t="s">
        <v>21</v>
      </c>
      <c r="G64" s="4" t="s">
        <v>22</v>
      </c>
      <c r="H64" s="4" t="s">
        <v>23</v>
      </c>
      <c r="I64" s="4">
        <v>10</v>
      </c>
      <c r="J64" s="4">
        <v>5</v>
      </c>
      <c r="K64" s="4">
        <v>50</v>
      </c>
      <c r="L64" s="4">
        <v>20</v>
      </c>
      <c r="M64" s="4">
        <v>8</v>
      </c>
      <c r="N64" s="4">
        <v>4</v>
      </c>
      <c r="O64" s="9">
        <f>IF(COUNT(INDEX($I$6:$I$214,MATCH("060",$B$6:$B$214,0)),INDEX($J$6:$J$214,MATCH("060",$B$6:$B$214,0)))=2,INDEX($I$6:$I$214,MATCH("060",$B$6:$B$214,0))+14*INDEX($J$6:$J$214,MATCH("060",$B$6:$B$214,0))+15*INDEX($J$6:$J$214,MATCH("060",$B$6:$B$214,0))+70*INDEX($J$6:$J$214,MATCH("060",$B$6:$B$214,0)),"")</f>
        <v>505</v>
      </c>
      <c r="P64" s="9">
        <f>IF(COUNT(INDEX($K$6:$K$214,MATCH("060",$B$6:$B$214,0)),INDEX($L$6:$L$214,MATCH("060",$B$6:$B$214,0)))=2,INDEX($K$6:$K$214,MATCH("060",$B$6:$B$214,0))+14*INDEX($L$6:$L$214,MATCH("060",$B$6:$B$214,0))+15*INDEX($L$6:$L$214,MATCH("060",$B$6:$B$214,0))+70*INDEX($L$6:$L$214,MATCH("060",$B$6:$B$214,0)),"")</f>
        <v>2030</v>
      </c>
      <c r="Q64" s="9">
        <f>IF(COUNT(O64:P64)=2,O64*10+P64,"")</f>
        <v>7080</v>
      </c>
    </row>
    <row r="65" spans="2:17" ht="21.95" customHeight="1" x14ac:dyDescent="0.2">
      <c r="B65" s="4" t="s">
        <v>435</v>
      </c>
      <c r="C65" s="4" t="s">
        <v>436</v>
      </c>
      <c r="D65" s="4" t="s">
        <v>62</v>
      </c>
      <c r="E65" s="4" t="s">
        <v>38</v>
      </c>
      <c r="F65" s="4" t="s">
        <v>156</v>
      </c>
      <c r="G65" s="4" t="s">
        <v>22</v>
      </c>
      <c r="H65" s="4" t="s">
        <v>40</v>
      </c>
      <c r="I65" s="4">
        <v>2</v>
      </c>
      <c r="J65" s="4">
        <v>1</v>
      </c>
      <c r="K65" s="4">
        <v>70</v>
      </c>
      <c r="L65" s="4">
        <v>20</v>
      </c>
      <c r="M65" s="4">
        <v>5</v>
      </c>
      <c r="N65" s="4">
        <v>2</v>
      </c>
      <c r="O65" s="9">
        <f>IF(COUNT(INDEX($I$6:$I$214,MATCH("062",$B$6:$B$214,0)),INDEX($J$6:$J$214,MATCH("062",$B$6:$B$214,0)),INDEX($J$6:$J$214,MATCH("063",$B$6:$B$214,0)),INDEX($J$6:$J$214,MATCH("064",$B$6:$B$214,0)))=4,INDEX($I$6:$I$214,MATCH("062",$B$6:$B$214,0))+14*INDEX($J$6:$J$214,MATCH("062",$B$6:$B$214,0))+15*INDEX($J$6:$J$214,MATCH("063",$B$6:$B$214,0))+70*INDEX($J$6:$J$214,MATCH("064",$B$6:$B$214,0)),"")</f>
        <v>171</v>
      </c>
      <c r="P65" s="9">
        <f>IF(COUNT(INDEX($K$6:$K$214,MATCH("062",$B$6:$B$214,0)),INDEX($L$6:$L$214,MATCH("062",$B$6:$B$214,0)),INDEX($L$6:$L$214,MATCH("063",$B$6:$B$214,0)),INDEX($L$6:$L$214,MATCH("064",$B$6:$B$214,0)))=4,INDEX($K$6:$K$214,MATCH("062",$B$6:$B$214,0))+14*INDEX($L$6:$L$214,MATCH("062",$B$6:$B$214,0))+15*INDEX($L$6:$L$214,MATCH("063",$B$6:$B$214,0))+70*INDEX($L$6:$L$214,MATCH("064",$B$6:$B$214,0)),"")</f>
        <v>2900</v>
      </c>
      <c r="Q65" s="9">
        <f>IF(COUNT(O65:P65)=2,O65*10+P65,"")</f>
        <v>4610</v>
      </c>
    </row>
    <row r="66" spans="2:17" ht="21.95" customHeight="1" x14ac:dyDescent="0.2">
      <c r="B66" s="4" t="s">
        <v>437</v>
      </c>
      <c r="C66" s="4" t="s">
        <v>438</v>
      </c>
      <c r="D66" s="4" t="s">
        <v>62</v>
      </c>
      <c r="E66" s="4" t="s">
        <v>38</v>
      </c>
      <c r="F66" s="4" t="s">
        <v>31</v>
      </c>
      <c r="G66" s="4" t="s">
        <v>32</v>
      </c>
      <c r="H66" s="4" t="s">
        <v>40</v>
      </c>
      <c r="I66" s="4" t="s">
        <v>31</v>
      </c>
      <c r="J66" s="4">
        <v>1</v>
      </c>
      <c r="K66" s="4" t="s">
        <v>31</v>
      </c>
      <c r="L66" s="4">
        <v>30</v>
      </c>
      <c r="M66" s="4" t="s">
        <v>31</v>
      </c>
      <c r="N66" s="4">
        <v>3</v>
      </c>
      <c r="O66" s="9">
        <f>IF(COUNT(INDEX($I$6:$I$214,MATCH("062",$B$6:$B$214,0)),INDEX($J$6:$J$214,MATCH("062",$B$6:$B$214,0)),INDEX($J$6:$J$214,MATCH("063",$B$6:$B$214,0)),INDEX($J$6:$J$214,MATCH("064",$B$6:$B$214,0)))=4,INDEX($I$6:$I$214,MATCH("062",$B$6:$B$214,0))+14*INDEX($J$6:$J$214,MATCH("062",$B$6:$B$214,0))+15*INDEX($J$6:$J$214,MATCH("063",$B$6:$B$214,0))+70*INDEX($J$6:$J$214,MATCH("064",$B$6:$B$214,0)),"")</f>
        <v>171</v>
      </c>
      <c r="P66" s="9">
        <f>IF(COUNT(INDEX($K$6:$K$214,MATCH("062",$B$6:$B$214,0)),INDEX($L$6:$L$214,MATCH("062",$B$6:$B$214,0)),INDEX($L$6:$L$214,MATCH("063",$B$6:$B$214,0)),INDEX($L$6:$L$214,MATCH("064",$B$6:$B$214,0)))=4,INDEX($K$6:$K$214,MATCH("062",$B$6:$B$214,0))+14*INDEX($L$6:$L$214,MATCH("062",$B$6:$B$214,0))+15*INDEX($L$6:$L$214,MATCH("063",$B$6:$B$214,0))+70*INDEX($L$6:$L$214,MATCH("064",$B$6:$B$214,0)),"")</f>
        <v>2900</v>
      </c>
      <c r="Q66" s="9">
        <f>IF(COUNT(O66:P66)=2,O66*10+P66,"")</f>
        <v>4610</v>
      </c>
    </row>
    <row r="67" spans="2:17" ht="21.95" customHeight="1" x14ac:dyDescent="0.2">
      <c r="B67" s="4" t="s">
        <v>439</v>
      </c>
      <c r="C67" s="4" t="s">
        <v>440</v>
      </c>
      <c r="D67" s="4" t="s">
        <v>62</v>
      </c>
      <c r="E67" s="4" t="s">
        <v>38</v>
      </c>
      <c r="F67" s="4" t="s">
        <v>31</v>
      </c>
      <c r="G67" s="4" t="s">
        <v>35</v>
      </c>
      <c r="H67" s="4" t="s">
        <v>40</v>
      </c>
      <c r="I67" s="4" t="s">
        <v>31</v>
      </c>
      <c r="J67" s="4">
        <v>2</v>
      </c>
      <c r="K67" s="4" t="s">
        <v>31</v>
      </c>
      <c r="L67" s="4">
        <v>30</v>
      </c>
      <c r="M67" s="4" t="s">
        <v>31</v>
      </c>
      <c r="N67" s="4">
        <v>4</v>
      </c>
      <c r="O67" s="9">
        <f>IF(COUNT(INDEX($I$6:$I$214,MATCH("062",$B$6:$B$214,0)),INDEX($J$6:$J$214,MATCH("062",$B$6:$B$214,0)),INDEX($J$6:$J$214,MATCH("063",$B$6:$B$214,0)),INDEX($J$6:$J$214,MATCH("064",$B$6:$B$214,0)))=4,INDEX($I$6:$I$214,MATCH("062",$B$6:$B$214,0))+14*INDEX($J$6:$J$214,MATCH("062",$B$6:$B$214,0))+15*INDEX($J$6:$J$214,MATCH("063",$B$6:$B$214,0))+70*INDEX($J$6:$J$214,MATCH("064",$B$6:$B$214,0)),"")</f>
        <v>171</v>
      </c>
      <c r="P67" s="9">
        <f>IF(COUNT(INDEX($K$6:$K$214,MATCH("062",$B$6:$B$214,0)),INDEX($L$6:$L$214,MATCH("062",$B$6:$B$214,0)),INDEX($L$6:$L$214,MATCH("063",$B$6:$B$214,0)),INDEX($L$6:$L$214,MATCH("064",$B$6:$B$214,0)))=4,INDEX($K$6:$K$214,MATCH("062",$B$6:$B$214,0))+14*INDEX($L$6:$L$214,MATCH("062",$B$6:$B$214,0))+15*INDEX($L$6:$L$214,MATCH("063",$B$6:$B$214,0))+70*INDEX($L$6:$L$214,MATCH("064",$B$6:$B$214,0)),"")</f>
        <v>2900</v>
      </c>
      <c r="Q67" s="9">
        <f>IF(COUNT(O67:P67)=2,O67*10+P67,"")</f>
        <v>4610</v>
      </c>
    </row>
    <row r="68" spans="2:17" ht="21.95" customHeight="1" x14ac:dyDescent="0.2">
      <c r="B68" s="4" t="s">
        <v>303</v>
      </c>
      <c r="C68" s="4" t="s">
        <v>304</v>
      </c>
      <c r="D68" s="4" t="s">
        <v>62</v>
      </c>
      <c r="E68" s="4" t="s">
        <v>38</v>
      </c>
      <c r="F68" s="4" t="s">
        <v>156</v>
      </c>
      <c r="G68" s="4" t="s">
        <v>22</v>
      </c>
      <c r="H68" s="4" t="s">
        <v>40</v>
      </c>
      <c r="I68" s="4">
        <v>1</v>
      </c>
      <c r="J68" s="4">
        <v>1</v>
      </c>
      <c r="K68" s="4">
        <v>110</v>
      </c>
      <c r="L68" s="4">
        <v>30</v>
      </c>
      <c r="M68" s="4">
        <v>2</v>
      </c>
      <c r="N68" s="4">
        <v>1</v>
      </c>
      <c r="O68" s="9">
        <f>IF(COUNT(INDEX($I$6:$I$214,MATCH("065",$B$6:$B$214,0)),INDEX($J$6:$J$214,MATCH("065",$B$6:$B$214,0)),INDEX($J$6:$J$214,MATCH("066",$B$6:$B$214,0)),INDEX($J$6:$J$214,MATCH("067",$B$6:$B$214,0)))=4,INDEX($I$6:$I$214,MATCH("065",$B$6:$B$214,0))+14*INDEX($J$6:$J$214,MATCH("065",$B$6:$B$214,0))+15*INDEX($J$6:$J$214,MATCH("066",$B$6:$B$214,0))+70*INDEX($J$6:$J$214,MATCH("067",$B$6:$B$214,0)),"")</f>
        <v>185</v>
      </c>
      <c r="P68" s="9">
        <f>IF(COUNT(INDEX($K$6:$K$214,MATCH("065",$B$6:$B$214,0)),INDEX($L$6:$L$214,MATCH("065",$B$6:$B$214,0)),INDEX($L$6:$L$214,MATCH("066",$B$6:$B$214,0)),INDEX($L$6:$L$214,MATCH("067",$B$6:$B$214,0)))=4,INDEX($K$6:$K$214,MATCH("065",$B$6:$B$214,0))+14*INDEX($L$6:$L$214,MATCH("065",$B$6:$B$214,0))+15*INDEX($L$6:$L$214,MATCH("066",$B$6:$B$214,0))+70*INDEX($L$6:$L$214,MATCH("067",$B$6:$B$214,0)),"")</f>
        <v>3780</v>
      </c>
      <c r="Q68" s="9">
        <f>IF(COUNT(O68:P68)=2,O68*10+P68,"")</f>
        <v>5630</v>
      </c>
    </row>
    <row r="69" spans="2:17" ht="21.95" customHeight="1" x14ac:dyDescent="0.2">
      <c r="B69" s="4" t="s">
        <v>305</v>
      </c>
      <c r="C69" s="4" t="s">
        <v>306</v>
      </c>
      <c r="D69" s="4" t="s">
        <v>62</v>
      </c>
      <c r="E69" s="4" t="s">
        <v>38</v>
      </c>
      <c r="F69" s="4" t="s">
        <v>31</v>
      </c>
      <c r="G69" s="4" t="s">
        <v>32</v>
      </c>
      <c r="H69" s="4" t="s">
        <v>40</v>
      </c>
      <c r="I69" s="4" t="s">
        <v>31</v>
      </c>
      <c r="J69" s="4">
        <v>2</v>
      </c>
      <c r="K69" s="4" t="s">
        <v>31</v>
      </c>
      <c r="L69" s="4">
        <v>30</v>
      </c>
      <c r="M69" s="4" t="s">
        <v>31</v>
      </c>
      <c r="N69" s="4">
        <v>2</v>
      </c>
      <c r="O69" s="9">
        <f>IF(COUNT(INDEX($I$6:$I$214,MATCH("065",$B$6:$B$214,0)),INDEX($J$6:$J$214,MATCH("065",$B$6:$B$214,0)),INDEX($J$6:$J$214,MATCH("066",$B$6:$B$214,0)),INDEX($J$6:$J$214,MATCH("067",$B$6:$B$214,0)))=4,INDEX($I$6:$I$214,MATCH("065",$B$6:$B$214,0))+14*INDEX($J$6:$J$214,MATCH("065",$B$6:$B$214,0))+15*INDEX($J$6:$J$214,MATCH("066",$B$6:$B$214,0))+70*INDEX($J$6:$J$214,MATCH("067",$B$6:$B$214,0)),"")</f>
        <v>185</v>
      </c>
      <c r="P69" s="9">
        <f>IF(COUNT(INDEX($K$6:$K$214,MATCH("065",$B$6:$B$214,0)),INDEX($L$6:$L$214,MATCH("065",$B$6:$B$214,0)),INDEX($L$6:$L$214,MATCH("066",$B$6:$B$214,0)),INDEX($L$6:$L$214,MATCH("067",$B$6:$B$214,0)))=4,INDEX($K$6:$K$214,MATCH("065",$B$6:$B$214,0))+14*INDEX($L$6:$L$214,MATCH("065",$B$6:$B$214,0))+15*INDEX($L$6:$L$214,MATCH("066",$B$6:$B$214,0))+70*INDEX($L$6:$L$214,MATCH("067",$B$6:$B$214,0)),"")</f>
        <v>3780</v>
      </c>
      <c r="Q69" s="9">
        <f>IF(COUNT(O69:P69)=2,O69*10+P69,"")</f>
        <v>5630</v>
      </c>
    </row>
    <row r="70" spans="2:17" ht="21.95" customHeight="1" x14ac:dyDescent="0.2">
      <c r="B70" s="4" t="s">
        <v>307</v>
      </c>
      <c r="C70" s="4" t="s">
        <v>308</v>
      </c>
      <c r="D70" s="4" t="s">
        <v>62</v>
      </c>
      <c r="E70" s="4" t="s">
        <v>38</v>
      </c>
      <c r="F70" s="4" t="s">
        <v>31</v>
      </c>
      <c r="G70" s="4" t="s">
        <v>35</v>
      </c>
      <c r="H70" s="4" t="s">
        <v>40</v>
      </c>
      <c r="I70" s="4" t="s">
        <v>31</v>
      </c>
      <c r="J70" s="4">
        <v>2</v>
      </c>
      <c r="K70" s="4" t="s">
        <v>31</v>
      </c>
      <c r="L70" s="4">
        <v>40</v>
      </c>
      <c r="M70" s="4" t="s">
        <v>31</v>
      </c>
      <c r="N70" s="4">
        <v>3</v>
      </c>
      <c r="O70" s="9">
        <f>IF(COUNT(INDEX($I$6:$I$214,MATCH("065",$B$6:$B$214,0)),INDEX($J$6:$J$214,MATCH("065",$B$6:$B$214,0)),INDEX($J$6:$J$214,MATCH("066",$B$6:$B$214,0)),INDEX($J$6:$J$214,MATCH("067",$B$6:$B$214,0)))=4,INDEX($I$6:$I$214,MATCH("065",$B$6:$B$214,0))+14*INDEX($J$6:$J$214,MATCH("065",$B$6:$B$214,0))+15*INDEX($J$6:$J$214,MATCH("066",$B$6:$B$214,0))+70*INDEX($J$6:$J$214,MATCH("067",$B$6:$B$214,0)),"")</f>
        <v>185</v>
      </c>
      <c r="P70" s="9">
        <f>IF(COUNT(INDEX($K$6:$K$214,MATCH("065",$B$6:$B$214,0)),INDEX($L$6:$L$214,MATCH("065",$B$6:$B$214,0)),INDEX($L$6:$L$214,MATCH("066",$B$6:$B$214,0)),INDEX($L$6:$L$214,MATCH("067",$B$6:$B$214,0)))=4,INDEX($K$6:$K$214,MATCH("065",$B$6:$B$214,0))+14*INDEX($L$6:$L$214,MATCH("065",$B$6:$B$214,0))+15*INDEX($L$6:$L$214,MATCH("066",$B$6:$B$214,0))+70*INDEX($L$6:$L$214,MATCH("067",$B$6:$B$214,0)),"")</f>
        <v>3780</v>
      </c>
      <c r="Q70" s="9">
        <f>IF(COUNT(O70:P70)=2,O70*10+P70,"")</f>
        <v>5630</v>
      </c>
    </row>
    <row r="71" spans="2:17" ht="21.95" customHeight="1" x14ac:dyDescent="0.2">
      <c r="B71" s="4" t="s">
        <v>383</v>
      </c>
      <c r="C71" s="4" t="s">
        <v>384</v>
      </c>
      <c r="D71" s="4" t="s">
        <v>62</v>
      </c>
      <c r="E71" s="4" t="s">
        <v>38</v>
      </c>
      <c r="F71" s="4" t="s">
        <v>156</v>
      </c>
      <c r="G71" s="4" t="s">
        <v>22</v>
      </c>
      <c r="H71" s="4" t="s">
        <v>40</v>
      </c>
      <c r="I71" s="4">
        <v>2</v>
      </c>
      <c r="J71" s="4">
        <v>1</v>
      </c>
      <c r="K71" s="4">
        <v>70</v>
      </c>
      <c r="L71" s="4">
        <v>20</v>
      </c>
      <c r="M71" s="4">
        <v>5</v>
      </c>
      <c r="N71" s="4">
        <v>2</v>
      </c>
      <c r="O71" s="9">
        <f>IF(COUNT(INDEX($I$6:$I$214,MATCH("068",$B$6:$B$214,0)),INDEX($J$6:$J$214,MATCH("068",$B$6:$B$214,0)),INDEX($J$6:$J$214,MATCH("069",$B$6:$B$214,0)))=3,INDEX($I$6:$I$214,MATCH("068",$B$6:$B$214,0))+14*INDEX($J$6:$J$214,MATCH("068",$B$6:$B$214,0))+15*INDEX($J$6:$J$214,MATCH("069",$B$6:$B$214,0))+70*INDEX($J$6:$J$214,MATCH("069",$B$6:$B$214,0)),"")</f>
        <v>271</v>
      </c>
      <c r="P71" s="9">
        <f>IF(COUNT(INDEX($K$6:$K$214,MATCH("068",$B$6:$B$214,0)),INDEX($L$6:$L$214,MATCH("068",$B$6:$B$214,0)),INDEX($L$6:$L$214,MATCH("069",$B$6:$B$214,0)))=3,INDEX($K$6:$K$214,MATCH("068",$B$6:$B$214,0))+14*INDEX($L$6:$L$214,MATCH("068",$B$6:$B$214,0))+15*INDEX($L$6:$L$214,MATCH("069",$B$6:$B$214,0))+70*INDEX($L$6:$L$214,MATCH("069",$B$6:$B$214,0)),"")</f>
        <v>2900</v>
      </c>
      <c r="Q71" s="9">
        <f>IF(COUNT(O71:P71)=2,O71*10+P71,"")</f>
        <v>5610</v>
      </c>
    </row>
    <row r="72" spans="2:17" ht="21.95" customHeight="1" x14ac:dyDescent="0.2">
      <c r="B72" s="4" t="s">
        <v>385</v>
      </c>
      <c r="C72" s="4" t="s">
        <v>386</v>
      </c>
      <c r="D72" s="4" t="s">
        <v>62</v>
      </c>
      <c r="E72" s="4" t="s">
        <v>38</v>
      </c>
      <c r="F72" s="4" t="s">
        <v>31</v>
      </c>
      <c r="G72" s="4" t="s">
        <v>32</v>
      </c>
      <c r="H72" s="4" t="s">
        <v>40</v>
      </c>
      <c r="I72" s="4" t="s">
        <v>31</v>
      </c>
      <c r="J72" s="4">
        <v>3</v>
      </c>
      <c r="K72" s="4" t="s">
        <v>31</v>
      </c>
      <c r="L72" s="4">
        <v>30</v>
      </c>
      <c r="M72" s="4" t="s">
        <v>31</v>
      </c>
      <c r="N72" s="4">
        <v>3</v>
      </c>
      <c r="O72" s="9">
        <f>IF(COUNT(INDEX($I$6:$I$214,MATCH("068",$B$6:$B$214,0)),INDEX($J$6:$J$214,MATCH("068",$B$6:$B$214,0)),INDEX($J$6:$J$214,MATCH("069",$B$6:$B$214,0)))=3,INDEX($I$6:$I$214,MATCH("068",$B$6:$B$214,0))+14*INDEX($J$6:$J$214,MATCH("068",$B$6:$B$214,0))+15*INDEX($J$6:$J$214,MATCH("069",$B$6:$B$214,0))+70*INDEX($J$6:$J$214,MATCH("069",$B$6:$B$214,0)),"")</f>
        <v>271</v>
      </c>
      <c r="P72" s="9">
        <f>IF(COUNT(INDEX($K$6:$K$214,MATCH("068",$B$6:$B$214,0)),INDEX($L$6:$L$214,MATCH("068",$B$6:$B$214,0)),INDEX($L$6:$L$214,MATCH("069",$B$6:$B$214,0)))=3,INDEX($K$6:$K$214,MATCH("068",$B$6:$B$214,0))+14*INDEX($L$6:$L$214,MATCH("068",$B$6:$B$214,0))+15*INDEX($L$6:$L$214,MATCH("069",$B$6:$B$214,0))+70*INDEX($L$6:$L$214,MATCH("069",$B$6:$B$214,0)),"")</f>
        <v>2900</v>
      </c>
      <c r="Q72" s="9">
        <f>IF(COUNT(O72:P72)=2,O72*10+P72,"")</f>
        <v>5610</v>
      </c>
    </row>
    <row r="73" spans="2:17" ht="21.95" customHeight="1" x14ac:dyDescent="0.2">
      <c r="B73" s="4" t="s">
        <v>371</v>
      </c>
      <c r="C73" s="4" t="s">
        <v>372</v>
      </c>
      <c r="D73" s="4" t="s">
        <v>62</v>
      </c>
      <c r="E73" s="4" t="s">
        <v>38</v>
      </c>
      <c r="F73" s="4" t="s">
        <v>156</v>
      </c>
      <c r="G73" s="4" t="s">
        <v>22</v>
      </c>
      <c r="H73" s="4" t="s">
        <v>40</v>
      </c>
      <c r="I73" s="4">
        <v>3</v>
      </c>
      <c r="J73" s="4">
        <v>2</v>
      </c>
      <c r="K73" s="4">
        <v>50</v>
      </c>
      <c r="L73" s="4">
        <v>20</v>
      </c>
      <c r="M73" s="4">
        <v>10</v>
      </c>
      <c r="N73" s="4">
        <v>4</v>
      </c>
      <c r="O73" s="9">
        <f>IF(COUNT(INDEX($I$6:$I$214,MATCH("070",$B$6:$B$214,0)),INDEX($J$6:$J$214,MATCH("070",$B$6:$B$214,0)),INDEX($J$6:$J$214,MATCH("071",$B$6:$B$214,0)))=3,INDEX($I$6:$I$214,MATCH("070",$B$6:$B$214,0))+14*INDEX($J$6:$J$214,MATCH("070",$B$6:$B$214,0))+15*INDEX($J$6:$J$214,MATCH("071",$B$6:$B$214,0))+70*INDEX($J$6:$J$214,MATCH("071",$B$6:$B$214,0)),"")</f>
        <v>286</v>
      </c>
      <c r="P73" s="9">
        <f>IF(COUNT(INDEX($K$6:$K$214,MATCH("070",$B$6:$B$214,0)),INDEX($L$6:$L$214,MATCH("070",$B$6:$B$214,0)),INDEX($L$6:$L$214,MATCH("071",$B$6:$B$214,0)))=3,INDEX($K$6:$K$214,MATCH("070",$B$6:$B$214,0))+14*INDEX($L$6:$L$214,MATCH("070",$B$6:$B$214,0))+15*INDEX($L$6:$L$214,MATCH("071",$B$6:$B$214,0))+70*INDEX($L$6:$L$214,MATCH("071",$B$6:$B$214,0)),"")</f>
        <v>2880</v>
      </c>
      <c r="Q73" s="9">
        <f>IF(COUNT(O73:P73)=2,O73*10+P73,"")</f>
        <v>5740</v>
      </c>
    </row>
    <row r="74" spans="2:17" ht="21.95" customHeight="1" x14ac:dyDescent="0.2">
      <c r="B74" s="4" t="s">
        <v>373</v>
      </c>
      <c r="C74" s="4" t="s">
        <v>374</v>
      </c>
      <c r="D74" s="4" t="s">
        <v>62</v>
      </c>
      <c r="E74" s="4" t="s">
        <v>38</v>
      </c>
      <c r="F74" s="4" t="s">
        <v>31</v>
      </c>
      <c r="G74" s="4" t="s">
        <v>32</v>
      </c>
      <c r="H74" s="4" t="s">
        <v>40</v>
      </c>
      <c r="I74" s="4" t="s">
        <v>31</v>
      </c>
      <c r="J74" s="4">
        <v>3</v>
      </c>
      <c r="K74" s="4" t="s">
        <v>31</v>
      </c>
      <c r="L74" s="4">
        <v>30</v>
      </c>
      <c r="M74" s="4" t="s">
        <v>31</v>
      </c>
      <c r="N74" s="4">
        <v>5</v>
      </c>
      <c r="O74" s="9">
        <f>IF(COUNT(INDEX($I$6:$I$214,MATCH("070",$B$6:$B$214,0)),INDEX($J$6:$J$214,MATCH("070",$B$6:$B$214,0)),INDEX($J$6:$J$214,MATCH("071",$B$6:$B$214,0)))=3,INDEX($I$6:$I$214,MATCH("070",$B$6:$B$214,0))+14*INDEX($J$6:$J$214,MATCH("070",$B$6:$B$214,0))+15*INDEX($J$6:$J$214,MATCH("071",$B$6:$B$214,0))+70*INDEX($J$6:$J$214,MATCH("071",$B$6:$B$214,0)),"")</f>
        <v>286</v>
      </c>
      <c r="P74" s="9">
        <f>IF(COUNT(INDEX($K$6:$K$214,MATCH("070",$B$6:$B$214,0)),INDEX($L$6:$L$214,MATCH("070",$B$6:$B$214,0)),INDEX($L$6:$L$214,MATCH("071",$B$6:$B$214,0)))=3,INDEX($K$6:$K$214,MATCH("070",$B$6:$B$214,0))+14*INDEX($L$6:$L$214,MATCH("070",$B$6:$B$214,0))+15*INDEX($L$6:$L$214,MATCH("071",$B$6:$B$214,0))+70*INDEX($L$6:$L$214,MATCH("071",$B$6:$B$214,0)),"")</f>
        <v>2880</v>
      </c>
      <c r="Q74" s="9">
        <f>IF(COUNT(O74:P74)=2,O74*10+P74,"")</f>
        <v>5740</v>
      </c>
    </row>
    <row r="75" spans="2:17" ht="21.95" customHeight="1" x14ac:dyDescent="0.2">
      <c r="B75" s="4" t="s">
        <v>447</v>
      </c>
      <c r="C75" s="4" t="s">
        <v>448</v>
      </c>
      <c r="D75" s="4" t="s">
        <v>62</v>
      </c>
      <c r="E75" s="4" t="s">
        <v>38</v>
      </c>
      <c r="F75" s="4" t="s">
        <v>156</v>
      </c>
      <c r="G75" s="4" t="s">
        <v>22</v>
      </c>
      <c r="H75" s="4" t="s">
        <v>40</v>
      </c>
      <c r="I75" s="4">
        <v>5</v>
      </c>
      <c r="J75" s="4">
        <v>3</v>
      </c>
      <c r="K75" s="4">
        <v>100</v>
      </c>
      <c r="L75" s="4">
        <v>20</v>
      </c>
      <c r="M75" s="4">
        <v>5</v>
      </c>
      <c r="N75" s="4">
        <v>3</v>
      </c>
      <c r="O75" s="9">
        <f>IF(COUNT(INDEX($I$6:$I$214,MATCH("072",$B$6:$B$214,0)),INDEX($J$6:$J$214,MATCH("072",$B$6:$B$214,0)))=2,INDEX($I$6:$I$214,MATCH("072",$B$6:$B$214,0))+14*INDEX($J$6:$J$214,MATCH("072",$B$6:$B$214,0))+15*INDEX($J$6:$J$214,MATCH("072",$B$6:$B$214,0))+70*INDEX($J$6:$J$214,MATCH("072",$B$6:$B$214,0)),"")</f>
        <v>302</v>
      </c>
      <c r="P75" s="9">
        <f>IF(COUNT(INDEX($K$6:$K$214,MATCH("072",$B$6:$B$214,0)),INDEX($L$6:$L$214,MATCH("072",$B$6:$B$214,0)))=2,INDEX($K$6:$K$214,MATCH("072",$B$6:$B$214,0))+14*INDEX($L$6:$L$214,MATCH("072",$B$6:$B$214,0))+15*INDEX($L$6:$L$214,MATCH("072",$B$6:$B$214,0))+70*INDEX($L$6:$L$214,MATCH("072",$B$6:$B$214,0)),"")</f>
        <v>2080</v>
      </c>
      <c r="Q75" s="9">
        <f>IF(COUNT(O75:P75)=2,O75*10+P75,"")</f>
        <v>5100</v>
      </c>
    </row>
    <row r="76" spans="2:17" ht="21.95" customHeight="1" x14ac:dyDescent="0.2">
      <c r="B76" s="4" t="s">
        <v>351</v>
      </c>
      <c r="C76" s="4" t="s">
        <v>352</v>
      </c>
      <c r="D76" s="4" t="s">
        <v>62</v>
      </c>
      <c r="E76" s="4" t="s">
        <v>38</v>
      </c>
      <c r="F76" s="4" t="s">
        <v>156</v>
      </c>
      <c r="G76" s="4" t="s">
        <v>22</v>
      </c>
      <c r="H76" s="4" t="s">
        <v>40</v>
      </c>
      <c r="I76" s="4">
        <v>2</v>
      </c>
      <c r="J76" s="4">
        <v>3</v>
      </c>
      <c r="K76" s="4">
        <v>40</v>
      </c>
      <c r="L76" s="4">
        <v>20</v>
      </c>
      <c r="M76" s="4">
        <v>5</v>
      </c>
      <c r="N76" s="4">
        <v>3</v>
      </c>
      <c r="O76" s="9">
        <f>IF(COUNT(INDEX($I$6:$I$214,MATCH("073",$B$6:$B$214,0)),INDEX($J$6:$J$214,MATCH("073",$B$6:$B$214,0)))=2,INDEX($I$6:$I$214,MATCH("073",$B$6:$B$214,0))+14*INDEX($J$6:$J$214,MATCH("073",$B$6:$B$214,0))+15*INDEX($J$6:$J$214,MATCH("073",$B$6:$B$214,0))+70*INDEX($J$6:$J$214,MATCH("073",$B$6:$B$214,0)),"")</f>
        <v>299</v>
      </c>
      <c r="P76" s="9">
        <f>IF(COUNT(INDEX($K$6:$K$214,MATCH("073",$B$6:$B$214,0)),INDEX($L$6:$L$214,MATCH("073",$B$6:$B$214,0)))=2,INDEX($K$6:$K$214,MATCH("073",$B$6:$B$214,0))+14*INDEX($L$6:$L$214,MATCH("073",$B$6:$B$214,0))+15*INDEX($L$6:$L$214,MATCH("073",$B$6:$B$214,0))+70*INDEX($L$6:$L$214,MATCH("073",$B$6:$B$214,0)),"")</f>
        <v>2020</v>
      </c>
      <c r="Q76" s="9">
        <f>IF(COUNT(O76:P76)=2,O76*10+P76,"")</f>
        <v>5010</v>
      </c>
    </row>
    <row r="77" spans="2:17" ht="21.95" customHeight="1" x14ac:dyDescent="0.2">
      <c r="B77" s="4" t="s">
        <v>60</v>
      </c>
      <c r="C77" s="4" t="s">
        <v>61</v>
      </c>
      <c r="D77" s="4" t="s">
        <v>62</v>
      </c>
      <c r="E77" s="4" t="s">
        <v>20</v>
      </c>
      <c r="F77" s="4" t="s">
        <v>55</v>
      </c>
      <c r="G77" s="4" t="s">
        <v>22</v>
      </c>
      <c r="H77" s="4" t="s">
        <v>40</v>
      </c>
      <c r="I77" s="4">
        <v>4</v>
      </c>
      <c r="J77" s="4">
        <v>2</v>
      </c>
      <c r="K77" s="4">
        <v>90</v>
      </c>
      <c r="L77" s="4">
        <v>20</v>
      </c>
      <c r="M77" s="4">
        <v>8</v>
      </c>
      <c r="N77" s="4">
        <v>3</v>
      </c>
      <c r="O77" s="9">
        <f>IF(COUNT(INDEX($I$6:$I$214,MATCH("074",$B$6:$B$214,0)),INDEX($J$6:$J$214,MATCH("074",$B$6:$B$214,0)),INDEX($J$6:$J$214,MATCH("075",$B$6:$B$214,0)),INDEX($J$6:$J$214,MATCH("076",$B$6:$B$214,0)))=4,INDEX($I$6:$I$214,MATCH("074",$B$6:$B$214,0))+14*INDEX($J$6:$J$214,MATCH("074",$B$6:$B$214,0))+15*INDEX($J$6:$J$214,MATCH("075",$B$6:$B$214,0))+70*INDEX($J$6:$J$214,MATCH("076",$B$6:$B$214,0)),"")</f>
        <v>287</v>
      </c>
      <c r="P77" s="9">
        <f>IF(COUNT(INDEX($K$6:$K$214,MATCH("074",$B$6:$B$214,0)),INDEX($L$6:$L$214,MATCH("074",$B$6:$B$214,0)),INDEX($L$6:$L$214,MATCH("075",$B$6:$B$214,0)),INDEX($L$6:$L$214,MATCH("076",$B$6:$B$214,0)))=4,INDEX($K$6:$K$214,MATCH("074",$B$6:$B$214,0))+14*INDEX($L$6:$L$214,MATCH("074",$B$6:$B$214,0))+15*INDEX($L$6:$L$214,MATCH("075",$B$6:$B$214,0))+70*INDEX($L$6:$L$214,MATCH("076",$B$6:$B$214,0)),"")</f>
        <v>3620</v>
      </c>
      <c r="Q77" s="9">
        <f>IF(COUNT(O77:P77)=2,O77*10+P77,"")</f>
        <v>6490</v>
      </c>
    </row>
    <row r="78" spans="2:17" ht="21.95" customHeight="1" x14ac:dyDescent="0.2">
      <c r="B78" s="4" t="s">
        <v>63</v>
      </c>
      <c r="C78" s="4" t="s">
        <v>64</v>
      </c>
      <c r="D78" s="4" t="s">
        <v>62</v>
      </c>
      <c r="E78" s="4" t="s">
        <v>20</v>
      </c>
      <c r="F78" s="4" t="s">
        <v>31</v>
      </c>
      <c r="G78" s="4" t="s">
        <v>32</v>
      </c>
      <c r="H78" s="4" t="s">
        <v>40</v>
      </c>
      <c r="I78" s="4" t="s">
        <v>31</v>
      </c>
      <c r="J78" s="4">
        <v>3</v>
      </c>
      <c r="K78" s="4" t="s">
        <v>31</v>
      </c>
      <c r="L78" s="4">
        <v>30</v>
      </c>
      <c r="M78" s="4" t="s">
        <v>31</v>
      </c>
      <c r="N78" s="4">
        <v>4</v>
      </c>
      <c r="O78" s="9">
        <f>IF(COUNT(INDEX($I$6:$I$214,MATCH("074",$B$6:$B$214,0)),INDEX($J$6:$J$214,MATCH("074",$B$6:$B$214,0)),INDEX($J$6:$J$214,MATCH("075",$B$6:$B$214,0)),INDEX($J$6:$J$214,MATCH("076",$B$6:$B$214,0)))=4,INDEX($I$6:$I$214,MATCH("074",$B$6:$B$214,0))+14*INDEX($J$6:$J$214,MATCH("074",$B$6:$B$214,0))+15*INDEX($J$6:$J$214,MATCH("075",$B$6:$B$214,0))+70*INDEX($J$6:$J$214,MATCH("076",$B$6:$B$214,0)),"")</f>
        <v>287</v>
      </c>
      <c r="P78" s="9">
        <f>IF(COUNT(INDEX($K$6:$K$214,MATCH("074",$B$6:$B$214,0)),INDEX($L$6:$L$214,MATCH("074",$B$6:$B$214,0)),INDEX($L$6:$L$214,MATCH("075",$B$6:$B$214,0)),INDEX($L$6:$L$214,MATCH("076",$B$6:$B$214,0)))=4,INDEX($K$6:$K$214,MATCH("074",$B$6:$B$214,0))+14*INDEX($L$6:$L$214,MATCH("074",$B$6:$B$214,0))+15*INDEX($L$6:$L$214,MATCH("075",$B$6:$B$214,0))+70*INDEX($L$6:$L$214,MATCH("076",$B$6:$B$214,0)),"")</f>
        <v>3620</v>
      </c>
      <c r="Q78" s="9">
        <f>IF(COUNT(O78:P78)=2,O78*10+P78,"")</f>
        <v>6490</v>
      </c>
    </row>
    <row r="79" spans="2:17" ht="21.95" customHeight="1" x14ac:dyDescent="0.2">
      <c r="B79" s="4" t="s">
        <v>65</v>
      </c>
      <c r="C79" s="4" t="s">
        <v>66</v>
      </c>
      <c r="D79" s="4" t="s">
        <v>62</v>
      </c>
      <c r="E79" s="4" t="s">
        <v>20</v>
      </c>
      <c r="F79" s="4" t="s">
        <v>31</v>
      </c>
      <c r="G79" s="4" t="s">
        <v>35</v>
      </c>
      <c r="H79" s="4" t="s">
        <v>40</v>
      </c>
      <c r="I79" s="4" t="s">
        <v>31</v>
      </c>
      <c r="J79" s="4">
        <v>3</v>
      </c>
      <c r="K79" s="4" t="s">
        <v>31</v>
      </c>
      <c r="L79" s="4">
        <v>40</v>
      </c>
      <c r="M79" s="4" t="s">
        <v>31</v>
      </c>
      <c r="N79" s="4">
        <v>4</v>
      </c>
      <c r="O79" s="9">
        <f>IF(COUNT(INDEX($I$6:$I$214,MATCH("074",$B$6:$B$214,0)),INDEX($J$6:$J$214,MATCH("074",$B$6:$B$214,0)),INDEX($J$6:$J$214,MATCH("075",$B$6:$B$214,0)),INDEX($J$6:$J$214,MATCH("076",$B$6:$B$214,0)))=4,INDEX($I$6:$I$214,MATCH("074",$B$6:$B$214,0))+14*INDEX($J$6:$J$214,MATCH("074",$B$6:$B$214,0))+15*INDEX($J$6:$J$214,MATCH("075",$B$6:$B$214,0))+70*INDEX($J$6:$J$214,MATCH("076",$B$6:$B$214,0)),"")</f>
        <v>287</v>
      </c>
      <c r="P79" s="9">
        <f>IF(COUNT(INDEX($K$6:$K$214,MATCH("074",$B$6:$B$214,0)),INDEX($L$6:$L$214,MATCH("074",$B$6:$B$214,0)),INDEX($L$6:$L$214,MATCH("075",$B$6:$B$214,0)),INDEX($L$6:$L$214,MATCH("076",$B$6:$B$214,0)))=4,INDEX($K$6:$K$214,MATCH("074",$B$6:$B$214,0))+14*INDEX($L$6:$L$214,MATCH("074",$B$6:$B$214,0))+15*INDEX($L$6:$L$214,MATCH("075",$B$6:$B$214,0))+70*INDEX($L$6:$L$214,MATCH("076",$B$6:$B$214,0)),"")</f>
        <v>3620</v>
      </c>
      <c r="Q79" s="9">
        <f>IF(COUNT(O79:P79)=2,O79*10+P79,"")</f>
        <v>6490</v>
      </c>
    </row>
    <row r="80" spans="2:17" ht="21.95" customHeight="1" x14ac:dyDescent="0.2">
      <c r="B80" s="4" t="s">
        <v>289</v>
      </c>
      <c r="C80" s="4" t="s">
        <v>290</v>
      </c>
      <c r="D80" s="4" t="s">
        <v>62</v>
      </c>
      <c r="E80" s="4" t="s">
        <v>20</v>
      </c>
      <c r="F80" s="4" t="s">
        <v>55</v>
      </c>
      <c r="G80" s="4" t="s">
        <v>22</v>
      </c>
      <c r="H80" s="4" t="s">
        <v>40</v>
      </c>
      <c r="I80" s="4">
        <v>4</v>
      </c>
      <c r="J80" s="4">
        <v>2</v>
      </c>
      <c r="K80" s="4">
        <v>50</v>
      </c>
      <c r="L80" s="4">
        <v>20</v>
      </c>
      <c r="M80" s="4">
        <v>10</v>
      </c>
      <c r="N80" s="4">
        <v>4</v>
      </c>
      <c r="O80" s="9">
        <f>IF(COUNT(INDEX($I$6:$I$214,MATCH("077",$B$6:$B$214,0)),INDEX($J$6:$J$214,MATCH("077",$B$6:$B$214,0)),INDEX($J$6:$J$214,MATCH("078",$B$6:$B$214,0)))=3,INDEX($I$6:$I$214,MATCH("077",$B$6:$B$214,0))+14*INDEX($J$6:$J$214,MATCH("077",$B$6:$B$214,0))+15*INDEX($J$6:$J$214,MATCH("078",$B$6:$B$214,0))+70*INDEX($J$6:$J$214,MATCH("078",$B$6:$B$214,0)),"")</f>
        <v>372</v>
      </c>
      <c r="P80" s="9">
        <f>IF(COUNT(INDEX($K$6:$K$214,MATCH("077",$B$6:$B$214,0)),INDEX($L$6:$L$214,MATCH("077",$B$6:$B$214,0)),INDEX($L$6:$L$214,MATCH("078",$B$6:$B$214,0)))=3,INDEX($K$6:$K$214,MATCH("077",$B$6:$B$214,0))+14*INDEX($L$6:$L$214,MATCH("077",$B$6:$B$214,0))+15*INDEX($L$6:$L$214,MATCH("078",$B$6:$B$214,0))+70*INDEX($L$6:$L$214,MATCH("078",$B$6:$B$214,0)),"")</f>
        <v>2880</v>
      </c>
      <c r="Q80" s="9">
        <f>IF(COUNT(O80:P80)=2,O80*10+P80,"")</f>
        <v>6600</v>
      </c>
    </row>
    <row r="81" spans="2:17" ht="21.95" customHeight="1" x14ac:dyDescent="0.2">
      <c r="B81" s="4" t="s">
        <v>291</v>
      </c>
      <c r="C81" s="4" t="s">
        <v>292</v>
      </c>
      <c r="D81" s="4" t="s">
        <v>62</v>
      </c>
      <c r="E81" s="4" t="s">
        <v>20</v>
      </c>
      <c r="F81" s="4" t="s">
        <v>31</v>
      </c>
      <c r="G81" s="4" t="s">
        <v>32</v>
      </c>
      <c r="H81" s="4" t="s">
        <v>40</v>
      </c>
      <c r="I81" s="4" t="s">
        <v>31</v>
      </c>
      <c r="J81" s="4">
        <v>4</v>
      </c>
      <c r="K81" s="4" t="s">
        <v>31</v>
      </c>
      <c r="L81" s="4">
        <v>30</v>
      </c>
      <c r="M81" s="4" t="s">
        <v>31</v>
      </c>
      <c r="N81" s="4">
        <v>5</v>
      </c>
      <c r="O81" s="9">
        <f>IF(COUNT(INDEX($I$6:$I$214,MATCH("077",$B$6:$B$214,0)),INDEX($J$6:$J$214,MATCH("077",$B$6:$B$214,0)),INDEX($J$6:$J$214,MATCH("078",$B$6:$B$214,0)))=3,INDEX($I$6:$I$214,MATCH("077",$B$6:$B$214,0))+14*INDEX($J$6:$J$214,MATCH("077",$B$6:$B$214,0))+15*INDEX($J$6:$J$214,MATCH("078",$B$6:$B$214,0))+70*INDEX($J$6:$J$214,MATCH("078",$B$6:$B$214,0)),"")</f>
        <v>372</v>
      </c>
      <c r="P81" s="9">
        <f>IF(COUNT(INDEX($K$6:$K$214,MATCH("077",$B$6:$B$214,0)),INDEX($L$6:$L$214,MATCH("077",$B$6:$B$214,0)),INDEX($L$6:$L$214,MATCH("078",$B$6:$B$214,0)))=3,INDEX($K$6:$K$214,MATCH("077",$B$6:$B$214,0))+14*INDEX($L$6:$L$214,MATCH("077",$B$6:$B$214,0))+15*INDEX($L$6:$L$214,MATCH("078",$B$6:$B$214,0))+70*INDEX($L$6:$L$214,MATCH("078",$B$6:$B$214,0)),"")</f>
        <v>2880</v>
      </c>
      <c r="Q81" s="9">
        <f>IF(COUNT(O81:P81)=2,O81*10+P81,"")</f>
        <v>6600</v>
      </c>
    </row>
    <row r="82" spans="2:17" ht="21.95" customHeight="1" x14ac:dyDescent="0.2">
      <c r="B82" s="4" t="s">
        <v>193</v>
      </c>
      <c r="C82" s="4" t="s">
        <v>194</v>
      </c>
      <c r="D82" s="4" t="s">
        <v>62</v>
      </c>
      <c r="E82" s="4" t="s">
        <v>20</v>
      </c>
      <c r="F82" s="4" t="s">
        <v>55</v>
      </c>
      <c r="G82" s="4" t="s">
        <v>22</v>
      </c>
      <c r="H82" s="4" t="s">
        <v>23</v>
      </c>
      <c r="I82" s="4">
        <v>4</v>
      </c>
      <c r="J82" s="4">
        <v>3</v>
      </c>
      <c r="K82" s="4">
        <v>100</v>
      </c>
      <c r="L82" s="4">
        <v>20</v>
      </c>
      <c r="M82" s="4">
        <v>9</v>
      </c>
      <c r="N82" s="4">
        <v>4</v>
      </c>
      <c r="O82" s="9">
        <f>IF(COUNT(INDEX($I$6:$I$214,MATCH("079",$B$6:$B$214,0)),INDEX($J$6:$J$214,MATCH("079",$B$6:$B$214,0)),INDEX($J$6:$J$214,MATCH("080",$B$6:$B$214,0)))=3,INDEX($I$6:$I$214,MATCH("079",$B$6:$B$214,0))+14*INDEX($J$6:$J$214,MATCH("079",$B$6:$B$214,0))+15*INDEX($J$6:$J$214,MATCH("080",$B$6:$B$214,0))+70*INDEX($J$6:$J$214,MATCH("080",$B$6:$B$214,0)),"")</f>
        <v>386</v>
      </c>
      <c r="P82" s="9">
        <f>IF(COUNT(INDEX($K$6:$K$214,MATCH("079",$B$6:$B$214,0)),INDEX($L$6:$L$214,MATCH("079",$B$6:$B$214,0)),INDEX($L$6:$L$214,MATCH("080",$B$6:$B$214,0)))=3,INDEX($K$6:$K$214,MATCH("079",$B$6:$B$214,0))+14*INDEX($L$6:$L$214,MATCH("079",$B$6:$B$214,0))+15*INDEX($L$6:$L$214,MATCH("080",$B$6:$B$214,0))+70*INDEX($L$6:$L$214,MATCH("080",$B$6:$B$214,0)),"")</f>
        <v>2930</v>
      </c>
      <c r="Q82" s="9">
        <f>IF(COUNT(O82:P82)=2,O82*10+P82,"")</f>
        <v>6790</v>
      </c>
    </row>
    <row r="83" spans="2:17" ht="21.95" customHeight="1" x14ac:dyDescent="0.2">
      <c r="B83" s="4" t="s">
        <v>195</v>
      </c>
      <c r="C83" s="4" t="s">
        <v>196</v>
      </c>
      <c r="D83" s="4" t="s">
        <v>62</v>
      </c>
      <c r="E83" s="4" t="s">
        <v>20</v>
      </c>
      <c r="F83" s="4" t="s">
        <v>31</v>
      </c>
      <c r="G83" s="4" t="s">
        <v>32</v>
      </c>
      <c r="H83" s="4" t="s">
        <v>23</v>
      </c>
      <c r="I83" s="4" t="s">
        <v>31</v>
      </c>
      <c r="J83" s="4">
        <v>4</v>
      </c>
      <c r="K83" s="4" t="s">
        <v>31</v>
      </c>
      <c r="L83" s="4">
        <v>30</v>
      </c>
      <c r="M83" s="4" t="s">
        <v>31</v>
      </c>
      <c r="N83" s="4">
        <v>5</v>
      </c>
      <c r="O83" s="9">
        <f>IF(COUNT(INDEX($I$6:$I$214,MATCH("079",$B$6:$B$214,0)),INDEX($J$6:$J$214,MATCH("079",$B$6:$B$214,0)),INDEX($J$6:$J$214,MATCH("080",$B$6:$B$214,0)))=3,INDEX($I$6:$I$214,MATCH("079",$B$6:$B$214,0))+14*INDEX($J$6:$J$214,MATCH("079",$B$6:$B$214,0))+15*INDEX($J$6:$J$214,MATCH("080",$B$6:$B$214,0))+70*INDEX($J$6:$J$214,MATCH("080",$B$6:$B$214,0)),"")</f>
        <v>386</v>
      </c>
      <c r="P83" s="9">
        <f>IF(COUNT(INDEX($K$6:$K$214,MATCH("079",$B$6:$B$214,0)),INDEX($L$6:$L$214,MATCH("079",$B$6:$B$214,0)),INDEX($L$6:$L$214,MATCH("080",$B$6:$B$214,0)))=3,INDEX($K$6:$K$214,MATCH("079",$B$6:$B$214,0))+14*INDEX($L$6:$L$214,MATCH("079",$B$6:$B$214,0))+15*INDEX($L$6:$L$214,MATCH("080",$B$6:$B$214,0))+70*INDEX($L$6:$L$214,MATCH("080",$B$6:$B$214,0)),"")</f>
        <v>2930</v>
      </c>
      <c r="Q83" s="9">
        <f>IF(COUNT(O83:P83)=2,O83*10+P83,"")</f>
        <v>6790</v>
      </c>
    </row>
    <row r="84" spans="2:17" ht="21.95" customHeight="1" x14ac:dyDescent="0.2">
      <c r="B84" s="4" t="s">
        <v>233</v>
      </c>
      <c r="C84" s="4" t="s">
        <v>234</v>
      </c>
      <c r="D84" s="4" t="s">
        <v>62</v>
      </c>
      <c r="E84" s="4" t="s">
        <v>20</v>
      </c>
      <c r="F84" s="4" t="s">
        <v>55</v>
      </c>
      <c r="G84" s="4" t="s">
        <v>22</v>
      </c>
      <c r="H84" s="4" t="s">
        <v>40</v>
      </c>
      <c r="I84" s="4">
        <v>3</v>
      </c>
      <c r="J84" s="4">
        <v>3</v>
      </c>
      <c r="K84" s="4">
        <v>20</v>
      </c>
      <c r="L84" s="4">
        <v>40</v>
      </c>
      <c r="M84" s="4">
        <v>5</v>
      </c>
      <c r="N84" s="4">
        <v>3</v>
      </c>
      <c r="O84" s="9">
        <f>IF(COUNT(INDEX($I$6:$I$214,MATCH("081",$B$6:$B$214,0)),INDEX($J$6:$J$214,MATCH("081",$B$6:$B$214,0)))=2,INDEX($I$6:$I$214,MATCH("081",$B$6:$B$214,0))+14*INDEX($J$6:$J$214,MATCH("081",$B$6:$B$214,0))+15*INDEX($J$6:$J$214,MATCH("081",$B$6:$B$214,0))+70*INDEX($J$6:$J$214,MATCH("081",$B$6:$B$214,0)),"")</f>
        <v>300</v>
      </c>
      <c r="P84" s="9">
        <f>IF(COUNT(INDEX($K$6:$K$214,MATCH("081",$B$6:$B$214,0)),INDEX($L$6:$L$214,MATCH("081",$B$6:$B$214,0)))=2,INDEX($K$6:$K$214,MATCH("081",$B$6:$B$214,0))+14*INDEX($L$6:$L$214,MATCH("081",$B$6:$B$214,0))+15*INDEX($L$6:$L$214,MATCH("081",$B$6:$B$214,0))+70*INDEX($L$6:$L$214,MATCH("081",$B$6:$B$214,0)),"")</f>
        <v>3980</v>
      </c>
      <c r="Q84" s="9">
        <f>IF(COUNT(O84:P84)=2,O84*10+P84,"")</f>
        <v>6980</v>
      </c>
    </row>
    <row r="85" spans="2:17" ht="21.95" customHeight="1" x14ac:dyDescent="0.2">
      <c r="B85" s="4" t="s">
        <v>187</v>
      </c>
      <c r="C85" s="4" t="s">
        <v>188</v>
      </c>
      <c r="D85" s="4" t="s">
        <v>62</v>
      </c>
      <c r="E85" s="4" t="s">
        <v>20</v>
      </c>
      <c r="F85" s="4" t="s">
        <v>55</v>
      </c>
      <c r="G85" s="4" t="s">
        <v>22</v>
      </c>
      <c r="H85" s="4" t="s">
        <v>23</v>
      </c>
      <c r="I85" s="4">
        <v>5</v>
      </c>
      <c r="J85" s="4">
        <v>2</v>
      </c>
      <c r="K85" s="4">
        <v>100</v>
      </c>
      <c r="L85" s="4">
        <v>40</v>
      </c>
      <c r="M85" s="4">
        <v>5</v>
      </c>
      <c r="N85" s="4">
        <v>3</v>
      </c>
      <c r="O85" s="9">
        <f>IF(COUNT(INDEX($I$6:$I$214,MATCH("082",$B$6:$B$214,0)),INDEX($J$6:$J$214,MATCH("082",$B$6:$B$214,0)))=2,INDEX($I$6:$I$214,MATCH("082",$B$6:$B$214,0))+14*INDEX($J$6:$J$214,MATCH("082",$B$6:$B$214,0))+15*INDEX($J$6:$J$214,MATCH("082",$B$6:$B$214,0))+70*INDEX($J$6:$J$214,MATCH("082",$B$6:$B$214,0)),"")</f>
        <v>203</v>
      </c>
      <c r="P85" s="9">
        <f>IF(COUNT(INDEX($K$6:$K$214,MATCH("082",$B$6:$B$214,0)),INDEX($L$6:$L$214,MATCH("082",$B$6:$B$214,0)))=2,INDEX($K$6:$K$214,MATCH("082",$B$6:$B$214,0))+14*INDEX($L$6:$L$214,MATCH("082",$B$6:$B$214,0))+15*INDEX($L$6:$L$214,MATCH("082",$B$6:$B$214,0))+70*INDEX($L$6:$L$214,MATCH("082",$B$6:$B$214,0)),"")</f>
        <v>4060</v>
      </c>
      <c r="Q85" s="9">
        <f>IF(COUNT(O85:P85)=2,O85*10+P85,"")</f>
        <v>6090</v>
      </c>
    </row>
    <row r="86" spans="2:17" ht="21.95" customHeight="1" x14ac:dyDescent="0.2">
      <c r="B86" s="4" t="s">
        <v>207</v>
      </c>
      <c r="C86" s="4" t="s">
        <v>208</v>
      </c>
      <c r="D86" s="4" t="s">
        <v>62</v>
      </c>
      <c r="E86" s="4" t="s">
        <v>27</v>
      </c>
      <c r="F86" s="4" t="s">
        <v>21</v>
      </c>
      <c r="G86" s="4" t="s">
        <v>22</v>
      </c>
      <c r="H86" s="4" t="s">
        <v>23</v>
      </c>
      <c r="I86" s="4">
        <v>4</v>
      </c>
      <c r="J86" s="4">
        <v>2</v>
      </c>
      <c r="K86" s="4">
        <v>60</v>
      </c>
      <c r="L86" s="4">
        <v>30</v>
      </c>
      <c r="M86" s="4">
        <v>8</v>
      </c>
      <c r="N86" s="4">
        <v>3</v>
      </c>
      <c r="O86" s="9">
        <f>IF(COUNT(INDEX($I$6:$I$214,MATCH("083",$B$6:$B$214,0)),INDEX($J$6:$J$214,MATCH("083",$B$6:$B$214,0)),INDEX($J$6:$J$214,MATCH("084",$B$6:$B$214,0)),INDEX($J$6:$J$214,MATCH("085",$B$6:$B$214,0)))=4,INDEX($I$6:$I$214,MATCH("083",$B$6:$B$214,0))+14*INDEX($J$6:$J$214,MATCH("083",$B$6:$B$214,0))+15*INDEX($J$6:$J$214,MATCH("084",$B$6:$B$214,0))+70*INDEX($J$6:$J$214,MATCH("085",$B$6:$B$214,0)),"")</f>
        <v>372</v>
      </c>
      <c r="P86" s="9">
        <f>IF(COUNT(INDEX($K$6:$K$214,MATCH("083",$B$6:$B$214,0)),INDEX($L$6:$L$214,MATCH("083",$B$6:$B$214,0)),INDEX($L$6:$L$214,MATCH("084",$B$6:$B$214,0)),INDEX($L$6:$L$214,MATCH("085",$B$6:$B$214,0)))=4,INDEX($K$6:$K$214,MATCH("083",$B$6:$B$214,0))+14*INDEX($L$6:$L$214,MATCH("083",$B$6:$B$214,0))+15*INDEX($L$6:$L$214,MATCH("084",$B$6:$B$214,0))+70*INDEX($L$6:$L$214,MATCH("085",$B$6:$B$214,0)),"")</f>
        <v>3730</v>
      </c>
      <c r="Q86" s="9">
        <f>IF(COUNT(O86:P86)=2,O86*10+P86,"")</f>
        <v>7450</v>
      </c>
    </row>
    <row r="87" spans="2:17" ht="21.95" customHeight="1" x14ac:dyDescent="0.2">
      <c r="B87" s="4" t="s">
        <v>209</v>
      </c>
      <c r="C87" s="4" t="s">
        <v>210</v>
      </c>
      <c r="D87" s="4" t="s">
        <v>62</v>
      </c>
      <c r="E87" s="4" t="s">
        <v>27</v>
      </c>
      <c r="F87" s="4" t="s">
        <v>31</v>
      </c>
      <c r="G87" s="4" t="s">
        <v>32</v>
      </c>
      <c r="H87" s="4" t="s">
        <v>23</v>
      </c>
      <c r="I87" s="4" t="s">
        <v>31</v>
      </c>
      <c r="J87" s="4">
        <v>4</v>
      </c>
      <c r="K87" s="4" t="s">
        <v>31</v>
      </c>
      <c r="L87" s="4">
        <v>30</v>
      </c>
      <c r="M87" s="4" t="s">
        <v>31</v>
      </c>
      <c r="N87" s="4">
        <v>4</v>
      </c>
      <c r="O87" s="9">
        <f>IF(COUNT(INDEX($I$6:$I$214,MATCH("083",$B$6:$B$214,0)),INDEX($J$6:$J$214,MATCH("083",$B$6:$B$214,0)),INDEX($J$6:$J$214,MATCH("084",$B$6:$B$214,0)),INDEX($J$6:$J$214,MATCH("085",$B$6:$B$214,0)))=4,INDEX($I$6:$I$214,MATCH("083",$B$6:$B$214,0))+14*INDEX($J$6:$J$214,MATCH("083",$B$6:$B$214,0))+15*INDEX($J$6:$J$214,MATCH("084",$B$6:$B$214,0))+70*INDEX($J$6:$J$214,MATCH("085",$B$6:$B$214,0)),"")</f>
        <v>372</v>
      </c>
      <c r="P87" s="9">
        <f>IF(COUNT(INDEX($K$6:$K$214,MATCH("083",$B$6:$B$214,0)),INDEX($L$6:$L$214,MATCH("083",$B$6:$B$214,0)),INDEX($L$6:$L$214,MATCH("084",$B$6:$B$214,0)),INDEX($L$6:$L$214,MATCH("085",$B$6:$B$214,0)))=4,INDEX($K$6:$K$214,MATCH("083",$B$6:$B$214,0))+14*INDEX($L$6:$L$214,MATCH("083",$B$6:$B$214,0))+15*INDEX($L$6:$L$214,MATCH("084",$B$6:$B$214,0))+70*INDEX($L$6:$L$214,MATCH("085",$B$6:$B$214,0)),"")</f>
        <v>3730</v>
      </c>
      <c r="Q87" s="9">
        <f>IF(COUNT(O87:P87)=2,O87*10+P87,"")</f>
        <v>7450</v>
      </c>
    </row>
    <row r="88" spans="2:17" ht="21.95" customHeight="1" x14ac:dyDescent="0.2">
      <c r="B88" s="4" t="s">
        <v>211</v>
      </c>
      <c r="C88" s="4" t="s">
        <v>212</v>
      </c>
      <c r="D88" s="4" t="s">
        <v>62</v>
      </c>
      <c r="E88" s="4" t="s">
        <v>27</v>
      </c>
      <c r="F88" s="4" t="s">
        <v>31</v>
      </c>
      <c r="G88" s="4" t="s">
        <v>35</v>
      </c>
      <c r="H88" s="4" t="s">
        <v>23</v>
      </c>
      <c r="I88" s="4" t="s">
        <v>31</v>
      </c>
      <c r="J88" s="4">
        <v>4</v>
      </c>
      <c r="K88" s="4" t="s">
        <v>31</v>
      </c>
      <c r="L88" s="4">
        <v>40</v>
      </c>
      <c r="M88" s="4" t="s">
        <v>31</v>
      </c>
      <c r="N88" s="4">
        <v>6</v>
      </c>
      <c r="O88" s="9">
        <f>IF(COUNT(INDEX($I$6:$I$214,MATCH("083",$B$6:$B$214,0)),INDEX($J$6:$J$214,MATCH("083",$B$6:$B$214,0)),INDEX($J$6:$J$214,MATCH("084",$B$6:$B$214,0)),INDEX($J$6:$J$214,MATCH("085",$B$6:$B$214,0)))=4,INDEX($I$6:$I$214,MATCH("083",$B$6:$B$214,0))+14*INDEX($J$6:$J$214,MATCH("083",$B$6:$B$214,0))+15*INDEX($J$6:$J$214,MATCH("084",$B$6:$B$214,0))+70*INDEX($J$6:$J$214,MATCH("085",$B$6:$B$214,0)),"")</f>
        <v>372</v>
      </c>
      <c r="P88" s="9">
        <f>IF(COUNT(INDEX($K$6:$K$214,MATCH("083",$B$6:$B$214,0)),INDEX($L$6:$L$214,MATCH("083",$B$6:$B$214,0)),INDEX($L$6:$L$214,MATCH("084",$B$6:$B$214,0)),INDEX($L$6:$L$214,MATCH("085",$B$6:$B$214,0)))=4,INDEX($K$6:$K$214,MATCH("083",$B$6:$B$214,0))+14*INDEX($L$6:$L$214,MATCH("083",$B$6:$B$214,0))+15*INDEX($L$6:$L$214,MATCH("084",$B$6:$B$214,0))+70*INDEX($L$6:$L$214,MATCH("085",$B$6:$B$214,0)),"")</f>
        <v>3730</v>
      </c>
      <c r="Q88" s="9">
        <f>IF(COUNT(O88:P88)=2,O88*10+P88,"")</f>
        <v>7450</v>
      </c>
    </row>
    <row r="89" spans="2:17" ht="21.95" customHeight="1" x14ac:dyDescent="0.2">
      <c r="B89" s="4" t="s">
        <v>106</v>
      </c>
      <c r="C89" s="4" t="s">
        <v>107</v>
      </c>
      <c r="D89" s="4" t="s">
        <v>62</v>
      </c>
      <c r="E89" s="4" t="s">
        <v>27</v>
      </c>
      <c r="F89" s="4" t="s">
        <v>21</v>
      </c>
      <c r="G89" s="4" t="s">
        <v>22</v>
      </c>
      <c r="H89" s="4" t="s">
        <v>23</v>
      </c>
      <c r="I89" s="4">
        <v>4</v>
      </c>
      <c r="J89" s="4">
        <v>2</v>
      </c>
      <c r="K89" s="4">
        <v>130</v>
      </c>
      <c r="L89" s="4">
        <v>40</v>
      </c>
      <c r="M89" s="4">
        <v>8</v>
      </c>
      <c r="N89" s="4">
        <v>3</v>
      </c>
      <c r="O89" s="9">
        <f>IF(COUNT(INDEX($I$6:$I$214,MATCH("086",$B$6:$B$214,0)),INDEX($J$6:$J$214,MATCH("086",$B$6:$B$214,0)),INDEX($J$6:$J$214,MATCH("087",$B$6:$B$214,0)))=3,INDEX($I$6:$I$214,MATCH("086",$B$6:$B$214,0))+14*INDEX($J$6:$J$214,MATCH("086",$B$6:$B$214,0))+15*INDEX($J$6:$J$214,MATCH("087",$B$6:$B$214,0))+70*INDEX($J$6:$J$214,MATCH("087",$B$6:$B$214,0)),"")</f>
        <v>287</v>
      </c>
      <c r="P89" s="9">
        <f>IF(COUNT(INDEX($K$6:$K$214,MATCH("086",$B$6:$B$214,0)),INDEX($L$6:$L$214,MATCH("086",$B$6:$B$214,0)),INDEX($L$6:$L$214,MATCH("087",$B$6:$B$214,0)))=3,INDEX($K$6:$K$214,MATCH("086",$B$6:$B$214,0))+14*INDEX($L$6:$L$214,MATCH("086",$B$6:$B$214,0))+15*INDEX($L$6:$L$214,MATCH("087",$B$6:$B$214,0))+70*INDEX($L$6:$L$214,MATCH("087",$B$6:$B$214,0)),"")</f>
        <v>4940</v>
      </c>
      <c r="Q89" s="9">
        <f>IF(COUNT(O89:P89)=2,O89*10+P89,"")</f>
        <v>7810</v>
      </c>
    </row>
    <row r="90" spans="2:17" ht="21.95" customHeight="1" x14ac:dyDescent="0.2">
      <c r="B90" s="4" t="s">
        <v>108</v>
      </c>
      <c r="C90" s="4" t="s">
        <v>109</v>
      </c>
      <c r="D90" s="4" t="s">
        <v>62</v>
      </c>
      <c r="E90" s="4" t="s">
        <v>27</v>
      </c>
      <c r="F90" s="4" t="s">
        <v>31</v>
      </c>
      <c r="G90" s="4" t="s">
        <v>32</v>
      </c>
      <c r="H90" s="4" t="s">
        <v>23</v>
      </c>
      <c r="I90" s="4" t="s">
        <v>31</v>
      </c>
      <c r="J90" s="4">
        <v>3</v>
      </c>
      <c r="K90" s="4" t="s">
        <v>31</v>
      </c>
      <c r="L90" s="4">
        <v>50</v>
      </c>
      <c r="M90" s="4" t="s">
        <v>31</v>
      </c>
      <c r="N90" s="4">
        <v>4</v>
      </c>
      <c r="O90" s="9">
        <f>IF(COUNT(INDEX($I$6:$I$214,MATCH("086",$B$6:$B$214,0)),INDEX($J$6:$J$214,MATCH("086",$B$6:$B$214,0)),INDEX($J$6:$J$214,MATCH("087",$B$6:$B$214,0)))=3,INDEX($I$6:$I$214,MATCH("086",$B$6:$B$214,0))+14*INDEX($J$6:$J$214,MATCH("086",$B$6:$B$214,0))+15*INDEX($J$6:$J$214,MATCH("087",$B$6:$B$214,0))+70*INDEX($J$6:$J$214,MATCH("087",$B$6:$B$214,0)),"")</f>
        <v>287</v>
      </c>
      <c r="P90" s="9">
        <f>IF(COUNT(INDEX($K$6:$K$214,MATCH("086",$B$6:$B$214,0)),INDEX($L$6:$L$214,MATCH("086",$B$6:$B$214,0)),INDEX($L$6:$L$214,MATCH("087",$B$6:$B$214,0)))=3,INDEX($K$6:$K$214,MATCH("086",$B$6:$B$214,0))+14*INDEX($L$6:$L$214,MATCH("086",$B$6:$B$214,0))+15*INDEX($L$6:$L$214,MATCH("087",$B$6:$B$214,0))+70*INDEX($L$6:$L$214,MATCH("087",$B$6:$B$214,0)),"")</f>
        <v>4940</v>
      </c>
      <c r="Q90" s="9">
        <f>IF(COUNT(O90:P90)=2,O90*10+P90,"")</f>
        <v>7810</v>
      </c>
    </row>
    <row r="91" spans="2:17" ht="21.95" customHeight="1" x14ac:dyDescent="0.2">
      <c r="B91" s="4" t="s">
        <v>110</v>
      </c>
      <c r="C91" s="4" t="s">
        <v>111</v>
      </c>
      <c r="D91" s="4" t="s">
        <v>62</v>
      </c>
      <c r="E91" s="4" t="s">
        <v>27</v>
      </c>
      <c r="F91" s="4" t="s">
        <v>21</v>
      </c>
      <c r="G91" s="4" t="s">
        <v>22</v>
      </c>
      <c r="H91" s="4" t="s">
        <v>23</v>
      </c>
      <c r="I91" s="4">
        <v>4</v>
      </c>
      <c r="J91" s="4">
        <v>5</v>
      </c>
      <c r="K91" s="4">
        <v>70</v>
      </c>
      <c r="L91" s="4">
        <v>10</v>
      </c>
      <c r="M91" s="4">
        <v>8</v>
      </c>
      <c r="N91" s="4">
        <v>3</v>
      </c>
      <c r="O91" s="9">
        <f>IF(COUNT(INDEX($I$6:$I$214,MATCH("088",$B$6:$B$214,0)),INDEX($J$6:$J$214,MATCH("088",$B$6:$B$214,0)),INDEX($J$6:$J$214,MATCH("089",$B$6:$B$214,0)))=3,INDEX($I$6:$I$214,MATCH("088",$B$6:$B$214,0))+14*INDEX($J$6:$J$214,MATCH("088",$B$6:$B$214,0))+15*INDEX($J$6:$J$214,MATCH("089",$B$6:$B$214,0))+70*INDEX($J$6:$J$214,MATCH("089",$B$6:$B$214,0)),"")</f>
        <v>584</v>
      </c>
      <c r="P91" s="9">
        <f>IF(COUNT(INDEX($K$6:$K$214,MATCH("088",$B$6:$B$214,0)),INDEX($L$6:$L$214,MATCH("088",$B$6:$B$214,0)),INDEX($L$6:$L$214,MATCH("089",$B$6:$B$214,0)))=3,INDEX($K$6:$K$214,MATCH("088",$B$6:$B$214,0))+14*INDEX($L$6:$L$214,MATCH("088",$B$6:$B$214,0))+15*INDEX($L$6:$L$214,MATCH("089",$B$6:$B$214,0))+70*INDEX($L$6:$L$214,MATCH("089",$B$6:$B$214,0)),"")</f>
        <v>1910</v>
      </c>
      <c r="Q91" s="9">
        <f>IF(COUNT(O91:P91)=2,O91*10+P91,"")</f>
        <v>7750</v>
      </c>
    </row>
    <row r="92" spans="2:17" ht="21.95" customHeight="1" x14ac:dyDescent="0.2">
      <c r="B92" s="4" t="s">
        <v>112</v>
      </c>
      <c r="C92" s="4" t="s">
        <v>113</v>
      </c>
      <c r="D92" s="4" t="s">
        <v>62</v>
      </c>
      <c r="E92" s="4" t="s">
        <v>27</v>
      </c>
      <c r="F92" s="4" t="s">
        <v>31</v>
      </c>
      <c r="G92" s="4" t="s">
        <v>32</v>
      </c>
      <c r="H92" s="4" t="s">
        <v>23</v>
      </c>
      <c r="I92" s="4" t="s">
        <v>31</v>
      </c>
      <c r="J92" s="4">
        <v>6</v>
      </c>
      <c r="K92" s="4" t="s">
        <v>31</v>
      </c>
      <c r="L92" s="4">
        <v>20</v>
      </c>
      <c r="M92" s="4" t="s">
        <v>31</v>
      </c>
      <c r="N92" s="4">
        <v>4</v>
      </c>
      <c r="O92" s="9">
        <f>IF(COUNT(INDEX($I$6:$I$214,MATCH("088",$B$6:$B$214,0)),INDEX($J$6:$J$214,MATCH("088",$B$6:$B$214,0)),INDEX($J$6:$J$214,MATCH("089",$B$6:$B$214,0)))=3,INDEX($I$6:$I$214,MATCH("088",$B$6:$B$214,0))+14*INDEX($J$6:$J$214,MATCH("088",$B$6:$B$214,0))+15*INDEX($J$6:$J$214,MATCH("089",$B$6:$B$214,0))+70*INDEX($J$6:$J$214,MATCH("089",$B$6:$B$214,0)),"")</f>
        <v>584</v>
      </c>
      <c r="P92" s="9">
        <f>IF(COUNT(INDEX($K$6:$K$214,MATCH("088",$B$6:$B$214,0)),INDEX($L$6:$L$214,MATCH("088",$B$6:$B$214,0)),INDEX($L$6:$L$214,MATCH("089",$B$6:$B$214,0)))=3,INDEX($K$6:$K$214,MATCH("088",$B$6:$B$214,0))+14*INDEX($L$6:$L$214,MATCH("088",$B$6:$B$214,0))+15*INDEX($L$6:$L$214,MATCH("089",$B$6:$B$214,0))+70*INDEX($L$6:$L$214,MATCH("089",$B$6:$B$214,0)),"")</f>
        <v>1910</v>
      </c>
      <c r="Q92" s="9">
        <f>IF(COUNT(O92:P92)=2,O92*10+P92,"")</f>
        <v>7750</v>
      </c>
    </row>
    <row r="93" spans="2:17" ht="21.95" customHeight="1" x14ac:dyDescent="0.2">
      <c r="B93" s="4" t="s">
        <v>353</v>
      </c>
      <c r="C93" s="4" t="s">
        <v>354</v>
      </c>
      <c r="D93" s="4" t="s">
        <v>62</v>
      </c>
      <c r="E93" s="4" t="s">
        <v>27</v>
      </c>
      <c r="F93" s="4" t="s">
        <v>21</v>
      </c>
      <c r="G93" s="4" t="s">
        <v>22</v>
      </c>
      <c r="H93" s="4" t="s">
        <v>40</v>
      </c>
      <c r="I93" s="4">
        <v>1</v>
      </c>
      <c r="J93" s="4">
        <v>5</v>
      </c>
      <c r="K93" s="4">
        <v>50</v>
      </c>
      <c r="L93" s="4">
        <v>20</v>
      </c>
      <c r="M93" s="4">
        <v>5</v>
      </c>
      <c r="N93" s="4">
        <v>3</v>
      </c>
      <c r="O93" s="9">
        <f>IF(COUNT(INDEX($I$6:$I$214,MATCH("090",$B$6:$B$214,0)),INDEX($J$6:$J$214,MATCH("090",$B$6:$B$214,0)))=2,INDEX($I$6:$I$214,MATCH("090",$B$6:$B$214,0))+14*INDEX($J$6:$J$214,MATCH("090",$B$6:$B$214,0))+15*INDEX($J$6:$J$214,MATCH("090",$B$6:$B$214,0))+70*INDEX($J$6:$J$214,MATCH("090",$B$6:$B$214,0)),"")</f>
        <v>496</v>
      </c>
      <c r="P93" s="9">
        <f>IF(COUNT(INDEX($K$6:$K$214,MATCH("090",$B$6:$B$214,0)),INDEX($L$6:$L$214,MATCH("090",$B$6:$B$214,0)))=2,INDEX($K$6:$K$214,MATCH("090",$B$6:$B$214,0))+14*INDEX($L$6:$L$214,MATCH("090",$B$6:$B$214,0))+15*INDEX($L$6:$L$214,MATCH("090",$B$6:$B$214,0))+70*INDEX($L$6:$L$214,MATCH("090",$B$6:$B$214,0)),"")</f>
        <v>2030</v>
      </c>
      <c r="Q93" s="9">
        <f>IF(COUNT(O93:P93)=2,O93*10+P93,"")</f>
        <v>6990</v>
      </c>
    </row>
    <row r="94" spans="2:17" ht="21.95" customHeight="1" x14ac:dyDescent="0.2">
      <c r="B94" s="4" t="s">
        <v>323</v>
      </c>
      <c r="C94" s="4" t="s">
        <v>324</v>
      </c>
      <c r="D94" s="4" t="s">
        <v>69</v>
      </c>
      <c r="E94" s="4" t="s">
        <v>38</v>
      </c>
      <c r="F94" s="4" t="s">
        <v>156</v>
      </c>
      <c r="G94" s="4" t="s">
        <v>22</v>
      </c>
      <c r="H94" s="4" t="s">
        <v>23</v>
      </c>
      <c r="I94" s="4">
        <v>1</v>
      </c>
      <c r="J94" s="4">
        <v>1</v>
      </c>
      <c r="K94" s="4">
        <v>70</v>
      </c>
      <c r="L94" s="4">
        <v>10</v>
      </c>
      <c r="M94" s="4">
        <v>5</v>
      </c>
      <c r="N94" s="4">
        <v>2</v>
      </c>
      <c r="O94" s="9">
        <f>IF(COUNT(INDEX($I$6:$I$214,MATCH("092",$B$6:$B$214,0)),INDEX($J$6:$J$214,MATCH("092",$B$6:$B$214,0)),INDEX($J$6:$J$214,MATCH("093",$B$6:$B$214,0)),INDEX($J$6:$J$214,MATCH("094",$B$6:$B$214,0)))=4,INDEX($I$6:$I$214,MATCH("092",$B$6:$B$214,0))+14*INDEX($J$6:$J$214,MATCH("092",$B$6:$B$214,0))+15*INDEX($J$6:$J$214,MATCH("093",$B$6:$B$214,0))+70*INDEX($J$6:$J$214,MATCH("094",$B$6:$B$214,0)),"")</f>
        <v>255</v>
      </c>
      <c r="P94" s="9">
        <f>IF(COUNT(INDEX($K$6:$K$214,MATCH("092",$B$6:$B$214,0)),INDEX($L$6:$L$214,MATCH("092",$B$6:$B$214,0)),INDEX($L$6:$L$214,MATCH("093",$B$6:$B$214,0)),INDEX($L$6:$L$214,MATCH("094",$B$6:$B$214,0)))=4,INDEX($K$6:$K$214,MATCH("092",$B$6:$B$214,0))+14*INDEX($L$6:$L$214,MATCH("092",$B$6:$B$214,0))+15*INDEX($L$6:$L$214,MATCH("093",$B$6:$B$214,0))+70*INDEX($L$6:$L$214,MATCH("094",$B$6:$B$214,0)),"")</f>
        <v>2610</v>
      </c>
      <c r="Q94" s="9">
        <f>IF(COUNT(O94:P94)=2,O94*10+P94,"")</f>
        <v>5160</v>
      </c>
    </row>
    <row r="95" spans="2:17" ht="21.95" customHeight="1" x14ac:dyDescent="0.2">
      <c r="B95" s="4" t="s">
        <v>325</v>
      </c>
      <c r="C95" s="4" t="s">
        <v>326</v>
      </c>
      <c r="D95" s="4" t="s">
        <v>69</v>
      </c>
      <c r="E95" s="4" t="s">
        <v>38</v>
      </c>
      <c r="F95" s="4" t="s">
        <v>31</v>
      </c>
      <c r="G95" s="4" t="s">
        <v>32</v>
      </c>
      <c r="H95" s="4" t="s">
        <v>23</v>
      </c>
      <c r="I95" s="4" t="s">
        <v>31</v>
      </c>
      <c r="J95" s="4">
        <v>2</v>
      </c>
      <c r="K95" s="4" t="s">
        <v>31</v>
      </c>
      <c r="L95" s="4">
        <v>20</v>
      </c>
      <c r="M95" s="4" t="s">
        <v>31</v>
      </c>
      <c r="N95" s="4">
        <v>3</v>
      </c>
      <c r="O95" s="9">
        <f>IF(COUNT(INDEX($I$6:$I$214,MATCH("092",$B$6:$B$214,0)),INDEX($J$6:$J$214,MATCH("092",$B$6:$B$214,0)),INDEX($J$6:$J$214,MATCH("093",$B$6:$B$214,0)),INDEX($J$6:$J$214,MATCH("094",$B$6:$B$214,0)))=4,INDEX($I$6:$I$214,MATCH("092",$B$6:$B$214,0))+14*INDEX($J$6:$J$214,MATCH("092",$B$6:$B$214,0))+15*INDEX($J$6:$J$214,MATCH("093",$B$6:$B$214,0))+70*INDEX($J$6:$J$214,MATCH("094",$B$6:$B$214,0)),"")</f>
        <v>255</v>
      </c>
      <c r="P95" s="9">
        <f>IF(COUNT(INDEX($K$6:$K$214,MATCH("092",$B$6:$B$214,0)),INDEX($L$6:$L$214,MATCH("092",$B$6:$B$214,0)),INDEX($L$6:$L$214,MATCH("093",$B$6:$B$214,0)),INDEX($L$6:$L$214,MATCH("094",$B$6:$B$214,0)))=4,INDEX($K$6:$K$214,MATCH("092",$B$6:$B$214,0))+14*INDEX($L$6:$L$214,MATCH("092",$B$6:$B$214,0))+15*INDEX($L$6:$L$214,MATCH("093",$B$6:$B$214,0))+70*INDEX($L$6:$L$214,MATCH("094",$B$6:$B$214,0)),"")</f>
        <v>2610</v>
      </c>
      <c r="Q95" s="9">
        <f>IF(COUNT(O95:P95)=2,O95*10+P95,"")</f>
        <v>5160</v>
      </c>
    </row>
    <row r="96" spans="2:17" ht="21.95" customHeight="1" x14ac:dyDescent="0.2">
      <c r="B96" s="4" t="s">
        <v>327</v>
      </c>
      <c r="C96" s="4" t="s">
        <v>328</v>
      </c>
      <c r="D96" s="4" t="s">
        <v>69</v>
      </c>
      <c r="E96" s="4" t="s">
        <v>38</v>
      </c>
      <c r="F96" s="4" t="s">
        <v>31</v>
      </c>
      <c r="G96" s="4" t="s">
        <v>35</v>
      </c>
      <c r="H96" s="4" t="s">
        <v>23</v>
      </c>
      <c r="I96" s="4" t="s">
        <v>31</v>
      </c>
      <c r="J96" s="4">
        <v>3</v>
      </c>
      <c r="K96" s="4" t="s">
        <v>31</v>
      </c>
      <c r="L96" s="4">
        <v>30</v>
      </c>
      <c r="M96" s="4" t="s">
        <v>31</v>
      </c>
      <c r="N96" s="4">
        <v>5</v>
      </c>
      <c r="O96" s="9">
        <f>IF(COUNT(INDEX($I$6:$I$214,MATCH("092",$B$6:$B$214,0)),INDEX($J$6:$J$214,MATCH("092",$B$6:$B$214,0)),INDEX($J$6:$J$214,MATCH("093",$B$6:$B$214,0)),INDEX($J$6:$J$214,MATCH("094",$B$6:$B$214,0)))=4,INDEX($I$6:$I$214,MATCH("092",$B$6:$B$214,0))+14*INDEX($J$6:$J$214,MATCH("092",$B$6:$B$214,0))+15*INDEX($J$6:$J$214,MATCH("093",$B$6:$B$214,0))+70*INDEX($J$6:$J$214,MATCH("094",$B$6:$B$214,0)),"")</f>
        <v>255</v>
      </c>
      <c r="P96" s="9">
        <f>IF(COUNT(INDEX($K$6:$K$214,MATCH("092",$B$6:$B$214,0)),INDEX($L$6:$L$214,MATCH("092",$B$6:$B$214,0)),INDEX($L$6:$L$214,MATCH("093",$B$6:$B$214,0)),INDEX($L$6:$L$214,MATCH("094",$B$6:$B$214,0)))=4,INDEX($K$6:$K$214,MATCH("092",$B$6:$B$214,0))+14*INDEX($L$6:$L$214,MATCH("092",$B$6:$B$214,0))+15*INDEX($L$6:$L$214,MATCH("093",$B$6:$B$214,0))+70*INDEX($L$6:$L$214,MATCH("094",$B$6:$B$214,0)),"")</f>
        <v>2610</v>
      </c>
      <c r="Q96" s="9">
        <f>IF(COUNT(O96:P96)=2,O96*10+P96,"")</f>
        <v>5160</v>
      </c>
    </row>
    <row r="97" spans="2:17" ht="21.95" customHeight="1" x14ac:dyDescent="0.2">
      <c r="B97" s="4" t="s">
        <v>441</v>
      </c>
      <c r="C97" s="4" t="s">
        <v>442</v>
      </c>
      <c r="D97" s="4" t="s">
        <v>69</v>
      </c>
      <c r="E97" s="4" t="s">
        <v>38</v>
      </c>
      <c r="F97" s="4" t="s">
        <v>156</v>
      </c>
      <c r="G97" s="4" t="s">
        <v>22</v>
      </c>
      <c r="H97" s="4" t="s">
        <v>40</v>
      </c>
      <c r="I97" s="4">
        <v>2</v>
      </c>
      <c r="J97" s="4">
        <v>1</v>
      </c>
      <c r="K97" s="4">
        <v>70</v>
      </c>
      <c r="L97" s="4">
        <v>20</v>
      </c>
      <c r="M97" s="4">
        <v>5</v>
      </c>
      <c r="N97" s="4">
        <v>1</v>
      </c>
      <c r="O97" s="9">
        <f>IF(COUNT(INDEX($I$6:$I$214,MATCH("095",$B$6:$B$214,0)),INDEX($J$6:$J$214,MATCH("095",$B$6:$B$214,0)),INDEX($J$6:$J$214,MATCH("096",$B$6:$B$214,0)),INDEX($J$6:$J$214,MATCH("097",$B$6:$B$214,0)))=4,INDEX($I$6:$I$214,MATCH("095",$B$6:$B$214,0))+14*INDEX($J$6:$J$214,MATCH("095",$B$6:$B$214,0))+15*INDEX($J$6:$J$214,MATCH("096",$B$6:$B$214,0))+70*INDEX($J$6:$J$214,MATCH("097",$B$6:$B$214,0)),"")</f>
        <v>171</v>
      </c>
      <c r="P97" s="9">
        <f>IF(COUNT(INDEX($K$6:$K$214,MATCH("095",$B$6:$B$214,0)),INDEX($L$6:$L$214,MATCH("095",$B$6:$B$214,0)),INDEX($L$6:$L$214,MATCH("096",$B$6:$B$214,0)),INDEX($L$6:$L$214,MATCH("097",$B$6:$B$214,0)))=4,INDEX($K$6:$K$214,MATCH("095",$B$6:$B$214,0))+14*INDEX($L$6:$L$214,MATCH("095",$B$6:$B$214,0))+15*INDEX($L$6:$L$214,MATCH("096",$B$6:$B$214,0))+70*INDEX($L$6:$L$214,MATCH("097",$B$6:$B$214,0)),"")</f>
        <v>2900</v>
      </c>
      <c r="Q97" s="9">
        <f>IF(COUNT(O97:P97)=2,O97*10+P97,"")</f>
        <v>4610</v>
      </c>
    </row>
    <row r="98" spans="2:17" ht="21.95" customHeight="1" x14ac:dyDescent="0.2">
      <c r="B98" s="4" t="s">
        <v>443</v>
      </c>
      <c r="C98" s="4" t="s">
        <v>444</v>
      </c>
      <c r="D98" s="4" t="s">
        <v>69</v>
      </c>
      <c r="E98" s="4" t="s">
        <v>38</v>
      </c>
      <c r="F98" s="4" t="s">
        <v>31</v>
      </c>
      <c r="G98" s="4" t="s">
        <v>32</v>
      </c>
      <c r="H98" s="4" t="s">
        <v>40</v>
      </c>
      <c r="I98" s="4" t="s">
        <v>31</v>
      </c>
      <c r="J98" s="4">
        <v>1</v>
      </c>
      <c r="K98" s="4" t="s">
        <v>31</v>
      </c>
      <c r="L98" s="4">
        <v>30</v>
      </c>
      <c r="M98" s="4" t="s">
        <v>31</v>
      </c>
      <c r="N98" s="4">
        <v>3</v>
      </c>
      <c r="O98" s="9">
        <f>IF(COUNT(INDEX($I$6:$I$214,MATCH("095",$B$6:$B$214,0)),INDEX($J$6:$J$214,MATCH("095",$B$6:$B$214,0)),INDEX($J$6:$J$214,MATCH("096",$B$6:$B$214,0)),INDEX($J$6:$J$214,MATCH("097",$B$6:$B$214,0)))=4,INDEX($I$6:$I$214,MATCH("095",$B$6:$B$214,0))+14*INDEX($J$6:$J$214,MATCH("095",$B$6:$B$214,0))+15*INDEX($J$6:$J$214,MATCH("096",$B$6:$B$214,0))+70*INDEX($J$6:$J$214,MATCH("097",$B$6:$B$214,0)),"")</f>
        <v>171</v>
      </c>
      <c r="P98" s="9">
        <f>IF(COUNT(INDEX($K$6:$K$214,MATCH("095",$B$6:$B$214,0)),INDEX($L$6:$L$214,MATCH("095",$B$6:$B$214,0)),INDEX($L$6:$L$214,MATCH("096",$B$6:$B$214,0)),INDEX($L$6:$L$214,MATCH("097",$B$6:$B$214,0)))=4,INDEX($K$6:$K$214,MATCH("095",$B$6:$B$214,0))+14*INDEX($L$6:$L$214,MATCH("095",$B$6:$B$214,0))+15*INDEX($L$6:$L$214,MATCH("096",$B$6:$B$214,0))+70*INDEX($L$6:$L$214,MATCH("097",$B$6:$B$214,0)),"")</f>
        <v>2900</v>
      </c>
      <c r="Q98" s="9">
        <f>IF(COUNT(O98:P98)=2,O98*10+P98,"")</f>
        <v>4610</v>
      </c>
    </row>
    <row r="99" spans="2:17" ht="21.95" customHeight="1" x14ac:dyDescent="0.2">
      <c r="B99" s="4" t="s">
        <v>445</v>
      </c>
      <c r="C99" s="4" t="s">
        <v>446</v>
      </c>
      <c r="D99" s="4" t="s">
        <v>69</v>
      </c>
      <c r="E99" s="4" t="s">
        <v>38</v>
      </c>
      <c r="F99" s="4" t="s">
        <v>31</v>
      </c>
      <c r="G99" s="4" t="s">
        <v>35</v>
      </c>
      <c r="H99" s="4" t="s">
        <v>40</v>
      </c>
      <c r="I99" s="4" t="s">
        <v>31</v>
      </c>
      <c r="J99" s="4">
        <v>2</v>
      </c>
      <c r="K99" s="4" t="s">
        <v>31</v>
      </c>
      <c r="L99" s="4">
        <v>30</v>
      </c>
      <c r="M99" s="4" t="s">
        <v>31</v>
      </c>
      <c r="N99" s="4">
        <v>3</v>
      </c>
      <c r="O99" s="9">
        <f>IF(COUNT(INDEX($I$6:$I$214,MATCH("095",$B$6:$B$214,0)),INDEX($J$6:$J$214,MATCH("095",$B$6:$B$214,0)),INDEX($J$6:$J$214,MATCH("096",$B$6:$B$214,0)),INDEX($J$6:$J$214,MATCH("097",$B$6:$B$214,0)))=4,INDEX($I$6:$I$214,MATCH("095",$B$6:$B$214,0))+14*INDEX($J$6:$J$214,MATCH("095",$B$6:$B$214,0))+15*INDEX($J$6:$J$214,MATCH("096",$B$6:$B$214,0))+70*INDEX($J$6:$J$214,MATCH("097",$B$6:$B$214,0)),"")</f>
        <v>171</v>
      </c>
      <c r="P99" s="9">
        <f>IF(COUNT(INDEX($K$6:$K$214,MATCH("095",$B$6:$B$214,0)),INDEX($L$6:$L$214,MATCH("095",$B$6:$B$214,0)),INDEX($L$6:$L$214,MATCH("096",$B$6:$B$214,0)),INDEX($L$6:$L$214,MATCH("097",$B$6:$B$214,0)))=4,INDEX($K$6:$K$214,MATCH("095",$B$6:$B$214,0))+14*INDEX($L$6:$L$214,MATCH("095",$B$6:$B$214,0))+15*INDEX($L$6:$L$214,MATCH("096",$B$6:$B$214,0))+70*INDEX($L$6:$L$214,MATCH("097",$B$6:$B$214,0)),"")</f>
        <v>2900</v>
      </c>
      <c r="Q99" s="9">
        <f>IF(COUNT(O99:P99)=2,O99*10+P99,"")</f>
        <v>4610</v>
      </c>
    </row>
    <row r="100" spans="2:17" ht="21.95" customHeight="1" x14ac:dyDescent="0.2">
      <c r="B100" s="4" t="s">
        <v>361</v>
      </c>
      <c r="C100" s="4" t="s">
        <v>362</v>
      </c>
      <c r="D100" s="4" t="s">
        <v>69</v>
      </c>
      <c r="E100" s="4" t="s">
        <v>38</v>
      </c>
      <c r="F100" s="4" t="s">
        <v>156</v>
      </c>
      <c r="G100" s="4" t="s">
        <v>22</v>
      </c>
      <c r="H100" s="4" t="s">
        <v>40</v>
      </c>
      <c r="I100" s="4">
        <v>2</v>
      </c>
      <c r="J100" s="4">
        <v>3</v>
      </c>
      <c r="K100" s="4">
        <v>70</v>
      </c>
      <c r="L100" s="4">
        <v>20</v>
      </c>
      <c r="M100" s="4">
        <v>4</v>
      </c>
      <c r="N100" s="4">
        <v>1</v>
      </c>
      <c r="O100" s="9">
        <f>IF(COUNT(INDEX($I$6:$I$214,MATCH("098",$B$6:$B$214,0)),INDEX($J$6:$J$214,MATCH("098",$B$6:$B$214,0)),INDEX($J$6:$J$214,MATCH("099",$B$6:$B$214,0)))=3,INDEX($I$6:$I$214,MATCH("098",$B$6:$B$214,0))+14*INDEX($J$6:$J$214,MATCH("098",$B$6:$B$214,0))+15*INDEX($J$6:$J$214,MATCH("099",$B$6:$B$214,0))+70*INDEX($J$6:$J$214,MATCH("099",$B$6:$B$214,0)),"")</f>
        <v>384</v>
      </c>
      <c r="P100" s="9">
        <f>IF(COUNT(INDEX($K$6:$K$214,MATCH("098",$B$6:$B$214,0)),INDEX($L$6:$L$214,MATCH("098",$B$6:$B$214,0)),INDEX($L$6:$L$214,MATCH("099",$B$6:$B$214,0)))=3,INDEX($K$6:$K$214,MATCH("098",$B$6:$B$214,0))+14*INDEX($L$6:$L$214,MATCH("098",$B$6:$B$214,0))+15*INDEX($L$6:$L$214,MATCH("099",$B$6:$B$214,0))+70*INDEX($L$6:$L$214,MATCH("099",$B$6:$B$214,0)),"")</f>
        <v>2050</v>
      </c>
      <c r="Q100" s="9">
        <f>IF(COUNT(O100:P100)=2,O100*10+P100,"")</f>
        <v>5890</v>
      </c>
    </row>
    <row r="101" spans="2:17" ht="21.95" customHeight="1" x14ac:dyDescent="0.2">
      <c r="B101" s="4" t="s">
        <v>363</v>
      </c>
      <c r="C101" s="4" t="s">
        <v>364</v>
      </c>
      <c r="D101" s="4" t="s">
        <v>69</v>
      </c>
      <c r="E101" s="4" t="s">
        <v>38</v>
      </c>
      <c r="F101" s="4" t="s">
        <v>31</v>
      </c>
      <c r="G101" s="4" t="s">
        <v>32</v>
      </c>
      <c r="H101" s="4" t="s">
        <v>40</v>
      </c>
      <c r="I101" s="4" t="s">
        <v>31</v>
      </c>
      <c r="J101" s="4">
        <v>4</v>
      </c>
      <c r="K101" s="4" t="s">
        <v>31</v>
      </c>
      <c r="L101" s="4">
        <v>20</v>
      </c>
      <c r="M101" s="4" t="s">
        <v>31</v>
      </c>
      <c r="N101" s="4">
        <v>3</v>
      </c>
      <c r="O101" s="9">
        <f>IF(COUNT(INDEX($I$6:$I$214,MATCH("098",$B$6:$B$214,0)),INDEX($J$6:$J$214,MATCH("098",$B$6:$B$214,0)),INDEX($J$6:$J$214,MATCH("099",$B$6:$B$214,0)))=3,INDEX($I$6:$I$214,MATCH("098",$B$6:$B$214,0))+14*INDEX($J$6:$J$214,MATCH("098",$B$6:$B$214,0))+15*INDEX($J$6:$J$214,MATCH("099",$B$6:$B$214,0))+70*INDEX($J$6:$J$214,MATCH("099",$B$6:$B$214,0)),"")</f>
        <v>384</v>
      </c>
      <c r="P101" s="9">
        <f>IF(COUNT(INDEX($K$6:$K$214,MATCH("098",$B$6:$B$214,0)),INDEX($L$6:$L$214,MATCH("098",$B$6:$B$214,0)),INDEX($L$6:$L$214,MATCH("099",$B$6:$B$214,0)))=3,INDEX($K$6:$K$214,MATCH("098",$B$6:$B$214,0))+14*INDEX($L$6:$L$214,MATCH("098",$B$6:$B$214,0))+15*INDEX($L$6:$L$214,MATCH("099",$B$6:$B$214,0))+70*INDEX($L$6:$L$214,MATCH("099",$B$6:$B$214,0)),"")</f>
        <v>2050</v>
      </c>
      <c r="Q101" s="9">
        <f>IF(COUNT(O101:P101)=2,O101*10+P101,"")</f>
        <v>5890</v>
      </c>
    </row>
    <row r="102" spans="2:17" ht="21.95" customHeight="1" x14ac:dyDescent="0.2">
      <c r="B102" s="4" t="s">
        <v>387</v>
      </c>
      <c r="C102" s="4" t="s">
        <v>388</v>
      </c>
      <c r="D102" s="4" t="s">
        <v>69</v>
      </c>
      <c r="E102" s="4" t="s">
        <v>38</v>
      </c>
      <c r="F102" s="4" t="s">
        <v>156</v>
      </c>
      <c r="G102" s="4" t="s">
        <v>22</v>
      </c>
      <c r="H102" s="4" t="s">
        <v>40</v>
      </c>
      <c r="I102" s="4">
        <v>2</v>
      </c>
      <c r="J102" s="4">
        <v>1</v>
      </c>
      <c r="K102" s="4">
        <v>70</v>
      </c>
      <c r="L102" s="4">
        <v>20</v>
      </c>
      <c r="M102" s="4">
        <v>4</v>
      </c>
      <c r="N102" s="4">
        <v>1</v>
      </c>
      <c r="O102" s="9">
        <f>IF(COUNT(INDEX($I$6:$I$214,MATCH("100",$B$6:$B$214,0)),INDEX($J$6:$J$214,MATCH("100",$B$6:$B$214,0)),INDEX($J$6:$J$214,MATCH("101",$B$6:$B$214,0)))=3,INDEX($I$6:$I$214,MATCH("100",$B$6:$B$214,0))+14*INDEX($J$6:$J$214,MATCH("100",$B$6:$B$214,0))+15*INDEX($J$6:$J$214,MATCH("101",$B$6:$B$214,0))+70*INDEX($J$6:$J$214,MATCH("101",$B$6:$B$214,0)),"")</f>
        <v>271</v>
      </c>
      <c r="P102" s="9">
        <f>IF(COUNT(INDEX($K$6:$K$214,MATCH("100",$B$6:$B$214,0)),INDEX($L$6:$L$214,MATCH("100",$B$6:$B$214,0)),INDEX($L$6:$L$214,MATCH("101",$B$6:$B$214,0)))=3,INDEX($K$6:$K$214,MATCH("100",$B$6:$B$214,0))+14*INDEX($L$6:$L$214,MATCH("100",$B$6:$B$214,0))+15*INDEX($L$6:$L$214,MATCH("101",$B$6:$B$214,0))+70*INDEX($L$6:$L$214,MATCH("101",$B$6:$B$214,0)),"")</f>
        <v>2900</v>
      </c>
      <c r="Q102" s="9">
        <f>IF(COUNT(O102:P102)=2,O102*10+P102,"")</f>
        <v>5610</v>
      </c>
    </row>
    <row r="103" spans="2:17" ht="21.95" customHeight="1" x14ac:dyDescent="0.2">
      <c r="B103" s="4" t="s">
        <v>389</v>
      </c>
      <c r="C103" s="4" t="s">
        <v>390</v>
      </c>
      <c r="D103" s="4" t="s">
        <v>69</v>
      </c>
      <c r="E103" s="4" t="s">
        <v>38</v>
      </c>
      <c r="F103" s="4" t="s">
        <v>31</v>
      </c>
      <c r="G103" s="4" t="s">
        <v>32</v>
      </c>
      <c r="H103" s="4" t="s">
        <v>40</v>
      </c>
      <c r="I103" s="4" t="s">
        <v>31</v>
      </c>
      <c r="J103" s="4">
        <v>3</v>
      </c>
      <c r="K103" s="4" t="s">
        <v>31</v>
      </c>
      <c r="L103" s="4">
        <v>30</v>
      </c>
      <c r="M103" s="4" t="s">
        <v>31</v>
      </c>
      <c r="N103" s="4">
        <v>2</v>
      </c>
      <c r="O103" s="9">
        <f>IF(COUNT(INDEX($I$6:$I$214,MATCH("100",$B$6:$B$214,0)),INDEX($J$6:$J$214,MATCH("100",$B$6:$B$214,0)),INDEX($J$6:$J$214,MATCH("101",$B$6:$B$214,0)))=3,INDEX($I$6:$I$214,MATCH("100",$B$6:$B$214,0))+14*INDEX($J$6:$J$214,MATCH("100",$B$6:$B$214,0))+15*INDEX($J$6:$J$214,MATCH("101",$B$6:$B$214,0))+70*INDEX($J$6:$J$214,MATCH("101",$B$6:$B$214,0)),"")</f>
        <v>271</v>
      </c>
      <c r="P103" s="9">
        <f>IF(COUNT(INDEX($K$6:$K$214,MATCH("100",$B$6:$B$214,0)),INDEX($L$6:$L$214,MATCH("100",$B$6:$B$214,0)),INDEX($L$6:$L$214,MATCH("101",$B$6:$B$214,0)))=3,INDEX($K$6:$K$214,MATCH("100",$B$6:$B$214,0))+14*INDEX($L$6:$L$214,MATCH("100",$B$6:$B$214,0))+15*INDEX($L$6:$L$214,MATCH("101",$B$6:$B$214,0))+70*INDEX($L$6:$L$214,MATCH("101",$B$6:$B$214,0)),"")</f>
        <v>2900</v>
      </c>
      <c r="Q103" s="9">
        <f>IF(COUNT(O103:P103)=2,O103*10+P103,"")</f>
        <v>5610</v>
      </c>
    </row>
    <row r="104" spans="2:17" ht="21.95" customHeight="1" x14ac:dyDescent="0.2">
      <c r="B104" s="4" t="s">
        <v>395</v>
      </c>
      <c r="C104" s="4" t="s">
        <v>396</v>
      </c>
      <c r="D104" s="4" t="s">
        <v>69</v>
      </c>
      <c r="E104" s="4" t="s">
        <v>38</v>
      </c>
      <c r="F104" s="4" t="s">
        <v>156</v>
      </c>
      <c r="G104" s="4" t="s">
        <v>22</v>
      </c>
      <c r="H104" s="4" t="s">
        <v>40</v>
      </c>
      <c r="I104" s="4">
        <v>5</v>
      </c>
      <c r="J104" s="4">
        <v>2</v>
      </c>
      <c r="K104" s="4">
        <v>100</v>
      </c>
      <c r="L104" s="4">
        <v>30</v>
      </c>
      <c r="M104" s="4">
        <v>4</v>
      </c>
      <c r="N104" s="4">
        <v>3</v>
      </c>
      <c r="O104" s="9">
        <f>IF(COUNT(INDEX($I$6:$I$214,MATCH("102",$B$6:$B$214,0)),INDEX($J$6:$J$214,MATCH("102",$B$6:$B$214,0)))=2,INDEX($I$6:$I$214,MATCH("102",$B$6:$B$214,0))+14*INDEX($J$6:$J$214,MATCH("102",$B$6:$B$214,0))+15*INDEX($J$6:$J$214,MATCH("102",$B$6:$B$214,0))+70*INDEX($J$6:$J$214,MATCH("102",$B$6:$B$214,0)),"")</f>
        <v>203</v>
      </c>
      <c r="P104" s="9">
        <f>IF(COUNT(INDEX($K$6:$K$214,MATCH("102",$B$6:$B$214,0)),INDEX($L$6:$L$214,MATCH("102",$B$6:$B$214,0)))=2,INDEX($K$6:$K$214,MATCH("102",$B$6:$B$214,0))+14*INDEX($L$6:$L$214,MATCH("102",$B$6:$B$214,0))+15*INDEX($L$6:$L$214,MATCH("102",$B$6:$B$214,0))+70*INDEX($L$6:$L$214,MATCH("102",$B$6:$B$214,0)),"")</f>
        <v>3070</v>
      </c>
      <c r="Q104" s="9">
        <f>IF(COUNT(O104:P104)=2,O104*10+P104,"")</f>
        <v>5100</v>
      </c>
    </row>
    <row r="105" spans="2:17" ht="21.95" customHeight="1" x14ac:dyDescent="0.2">
      <c r="B105" s="4" t="s">
        <v>347</v>
      </c>
      <c r="C105" s="4" t="s">
        <v>348</v>
      </c>
      <c r="D105" s="4" t="s">
        <v>69</v>
      </c>
      <c r="E105" s="4" t="s">
        <v>38</v>
      </c>
      <c r="F105" s="4" t="s">
        <v>156</v>
      </c>
      <c r="G105" s="4" t="s">
        <v>22</v>
      </c>
      <c r="H105" s="4" t="s">
        <v>40</v>
      </c>
      <c r="I105" s="4">
        <v>2</v>
      </c>
      <c r="J105" s="4">
        <v>1</v>
      </c>
      <c r="K105" s="4">
        <v>80</v>
      </c>
      <c r="L105" s="4">
        <v>40</v>
      </c>
      <c r="M105" s="4">
        <v>4</v>
      </c>
      <c r="N105" s="4">
        <v>3</v>
      </c>
      <c r="O105" s="9">
        <f>IF(COUNT(INDEX($I$6:$I$214,MATCH("103",$B$6:$B$214,0)),INDEX($J$6:$J$214,MATCH("103",$B$6:$B$214,0)))=2,INDEX($I$6:$I$214,MATCH("103",$B$6:$B$214,0))+14*INDEX($J$6:$J$214,MATCH("103",$B$6:$B$214,0))+15*INDEX($J$6:$J$214,MATCH("103",$B$6:$B$214,0))+70*INDEX($J$6:$J$214,MATCH("103",$B$6:$B$214,0)),"")</f>
        <v>101</v>
      </c>
      <c r="P105" s="9">
        <f>IF(COUNT(INDEX($K$6:$K$214,MATCH("103",$B$6:$B$214,0)),INDEX($L$6:$L$214,MATCH("103",$B$6:$B$214,0)))=2,INDEX($K$6:$K$214,MATCH("103",$B$6:$B$214,0))+14*INDEX($L$6:$L$214,MATCH("103",$B$6:$B$214,0))+15*INDEX($L$6:$L$214,MATCH("103",$B$6:$B$214,0))+70*INDEX($L$6:$L$214,MATCH("103",$B$6:$B$214,0)),"")</f>
        <v>4040</v>
      </c>
      <c r="Q105" s="9">
        <f>IF(COUNT(O105:P105)=2,O105*10+P105,"")</f>
        <v>5050</v>
      </c>
    </row>
    <row r="106" spans="2:17" ht="21.95" customHeight="1" x14ac:dyDescent="0.2">
      <c r="B106" s="4" t="s">
        <v>179</v>
      </c>
      <c r="C106" s="4" t="s">
        <v>180</v>
      </c>
      <c r="D106" s="4" t="s">
        <v>69</v>
      </c>
      <c r="E106" s="4" t="s">
        <v>20</v>
      </c>
      <c r="F106" s="4" t="s">
        <v>55</v>
      </c>
      <c r="G106" s="4" t="s">
        <v>22</v>
      </c>
      <c r="H106" s="4" t="s">
        <v>40</v>
      </c>
      <c r="I106" s="4">
        <v>2</v>
      </c>
      <c r="J106" s="4">
        <v>1</v>
      </c>
      <c r="K106" s="4">
        <v>70</v>
      </c>
      <c r="L106" s="4">
        <v>20</v>
      </c>
      <c r="M106" s="4">
        <v>4</v>
      </c>
      <c r="N106" s="4">
        <v>1</v>
      </c>
      <c r="O106" s="9">
        <f>IF(COUNT(INDEX($I$6:$I$214,MATCH("104",$B$6:$B$214,0)),INDEX($J$6:$J$214,MATCH("104",$B$6:$B$214,0)),INDEX($J$6:$J$214,MATCH("105",$B$6:$B$214,0)),INDEX($J$6:$J$214,MATCH("106",$B$6:$B$214,0)))=4,INDEX($I$6:$I$214,MATCH("104",$B$6:$B$214,0))+14*INDEX($J$6:$J$214,MATCH("104",$B$6:$B$214,0))+15*INDEX($J$6:$J$214,MATCH("105",$B$6:$B$214,0))+70*INDEX($J$6:$J$214,MATCH("106",$B$6:$B$214,0)),"")</f>
        <v>311</v>
      </c>
      <c r="P106" s="9">
        <f>IF(COUNT(INDEX($K$6:$K$214,MATCH("104",$B$6:$B$214,0)),INDEX($L$6:$L$214,MATCH("104",$B$6:$B$214,0)),INDEX($L$6:$L$214,MATCH("105",$B$6:$B$214,0)),INDEX($L$6:$L$214,MATCH("106",$B$6:$B$214,0)))=4,INDEX($K$6:$K$214,MATCH("104",$B$6:$B$214,0))+14*INDEX($L$6:$L$214,MATCH("104",$B$6:$B$214,0))+15*INDEX($L$6:$L$214,MATCH("105",$B$6:$B$214,0))+70*INDEX($L$6:$L$214,MATCH("106",$B$6:$B$214,0)),"")</f>
        <v>3600</v>
      </c>
      <c r="Q106" s="9">
        <f>IF(COUNT(O106:P106)=2,O106*10+P106,"")</f>
        <v>6710</v>
      </c>
    </row>
    <row r="107" spans="2:17" ht="21.95" customHeight="1" x14ac:dyDescent="0.2">
      <c r="B107" s="4" t="s">
        <v>181</v>
      </c>
      <c r="C107" s="4" t="s">
        <v>182</v>
      </c>
      <c r="D107" s="4" t="s">
        <v>69</v>
      </c>
      <c r="E107" s="4" t="s">
        <v>20</v>
      </c>
      <c r="F107" s="4" t="s">
        <v>31</v>
      </c>
      <c r="G107" s="4" t="s">
        <v>32</v>
      </c>
      <c r="H107" s="4" t="s">
        <v>40</v>
      </c>
      <c r="I107" s="4" t="s">
        <v>31</v>
      </c>
      <c r="J107" s="4">
        <v>1</v>
      </c>
      <c r="K107" s="4" t="s">
        <v>31</v>
      </c>
      <c r="L107" s="4">
        <v>30</v>
      </c>
      <c r="M107" s="4" t="s">
        <v>31</v>
      </c>
      <c r="N107" s="4">
        <v>2</v>
      </c>
      <c r="O107" s="9">
        <f>IF(COUNT(INDEX($I$6:$I$214,MATCH("104",$B$6:$B$214,0)),INDEX($J$6:$J$214,MATCH("104",$B$6:$B$214,0)),INDEX($J$6:$J$214,MATCH("105",$B$6:$B$214,0)),INDEX($J$6:$J$214,MATCH("106",$B$6:$B$214,0)))=4,INDEX($I$6:$I$214,MATCH("104",$B$6:$B$214,0))+14*INDEX($J$6:$J$214,MATCH("104",$B$6:$B$214,0))+15*INDEX($J$6:$J$214,MATCH("105",$B$6:$B$214,0))+70*INDEX($J$6:$J$214,MATCH("106",$B$6:$B$214,0)),"")</f>
        <v>311</v>
      </c>
      <c r="P107" s="9">
        <f>IF(COUNT(INDEX($K$6:$K$214,MATCH("104",$B$6:$B$214,0)),INDEX($L$6:$L$214,MATCH("104",$B$6:$B$214,0)),INDEX($L$6:$L$214,MATCH("105",$B$6:$B$214,0)),INDEX($L$6:$L$214,MATCH("106",$B$6:$B$214,0)))=4,INDEX($K$6:$K$214,MATCH("104",$B$6:$B$214,0))+14*INDEX($L$6:$L$214,MATCH("104",$B$6:$B$214,0))+15*INDEX($L$6:$L$214,MATCH("105",$B$6:$B$214,0))+70*INDEX($L$6:$L$214,MATCH("106",$B$6:$B$214,0)),"")</f>
        <v>3600</v>
      </c>
      <c r="Q107" s="9">
        <f>IF(COUNT(O107:P107)=2,O107*10+P107,"")</f>
        <v>6710</v>
      </c>
    </row>
    <row r="108" spans="2:17" ht="21.95" customHeight="1" x14ac:dyDescent="0.2">
      <c r="B108" s="4" t="s">
        <v>183</v>
      </c>
      <c r="C108" s="4" t="s">
        <v>184</v>
      </c>
      <c r="D108" s="4" t="s">
        <v>69</v>
      </c>
      <c r="E108" s="4" t="s">
        <v>20</v>
      </c>
      <c r="F108" s="4" t="s">
        <v>31</v>
      </c>
      <c r="G108" s="4" t="s">
        <v>35</v>
      </c>
      <c r="H108" s="4" t="s">
        <v>40</v>
      </c>
      <c r="I108" s="4" t="s">
        <v>31</v>
      </c>
      <c r="J108" s="4">
        <v>4</v>
      </c>
      <c r="K108" s="4" t="s">
        <v>31</v>
      </c>
      <c r="L108" s="4">
        <v>40</v>
      </c>
      <c r="M108" s="4" t="s">
        <v>31</v>
      </c>
      <c r="N108" s="4">
        <v>5</v>
      </c>
      <c r="O108" s="9">
        <f>IF(COUNT(INDEX($I$6:$I$214,MATCH("104",$B$6:$B$214,0)),INDEX($J$6:$J$214,MATCH("104",$B$6:$B$214,0)),INDEX($J$6:$J$214,MATCH("105",$B$6:$B$214,0)),INDEX($J$6:$J$214,MATCH("106",$B$6:$B$214,0)))=4,INDEX($I$6:$I$214,MATCH("104",$B$6:$B$214,0))+14*INDEX($J$6:$J$214,MATCH("104",$B$6:$B$214,0))+15*INDEX($J$6:$J$214,MATCH("105",$B$6:$B$214,0))+70*INDEX($J$6:$J$214,MATCH("106",$B$6:$B$214,0)),"")</f>
        <v>311</v>
      </c>
      <c r="P108" s="9">
        <f>IF(COUNT(INDEX($K$6:$K$214,MATCH("104",$B$6:$B$214,0)),INDEX($L$6:$L$214,MATCH("104",$B$6:$B$214,0)),INDEX($L$6:$L$214,MATCH("105",$B$6:$B$214,0)),INDEX($L$6:$L$214,MATCH("106",$B$6:$B$214,0)))=4,INDEX($K$6:$K$214,MATCH("104",$B$6:$B$214,0))+14*INDEX($L$6:$L$214,MATCH("104",$B$6:$B$214,0))+15*INDEX($L$6:$L$214,MATCH("105",$B$6:$B$214,0))+70*INDEX($L$6:$L$214,MATCH("106",$B$6:$B$214,0)),"")</f>
        <v>3600</v>
      </c>
      <c r="Q108" s="9">
        <f>IF(COUNT(O108:P108)=2,O108*10+P108,"")</f>
        <v>6710</v>
      </c>
    </row>
    <row r="109" spans="2:17" ht="21.95" customHeight="1" x14ac:dyDescent="0.2">
      <c r="B109" s="4" t="s">
        <v>67</v>
      </c>
      <c r="C109" s="4" t="s">
        <v>68</v>
      </c>
      <c r="D109" s="4" t="s">
        <v>69</v>
      </c>
      <c r="E109" s="4" t="s">
        <v>20</v>
      </c>
      <c r="F109" s="4" t="s">
        <v>55</v>
      </c>
      <c r="G109" s="4" t="s">
        <v>22</v>
      </c>
      <c r="H109" s="4" t="s">
        <v>40</v>
      </c>
      <c r="I109" s="4">
        <v>4</v>
      </c>
      <c r="J109" s="4">
        <v>3</v>
      </c>
      <c r="K109" s="4">
        <v>90</v>
      </c>
      <c r="L109" s="4">
        <v>20</v>
      </c>
      <c r="M109" s="4">
        <v>8</v>
      </c>
      <c r="N109" s="4">
        <v>3</v>
      </c>
      <c r="O109" s="9">
        <f>IF(COUNT(INDEX($I$6:$I$214,MATCH("107",$B$6:$B$214,0)),INDEX($J$6:$J$214,MATCH("107",$B$6:$B$214,0)),INDEX($J$6:$J$214,MATCH("108",$B$6:$B$214,0)),INDEX($J$6:$J$214,MATCH("109",$B$6:$B$214,0)))=4,INDEX($I$6:$I$214,MATCH("107",$B$6:$B$214,0))+14*INDEX($J$6:$J$214,MATCH("107",$B$6:$B$214,0))+15*INDEX($J$6:$J$214,MATCH("108",$B$6:$B$214,0))+70*INDEX($J$6:$J$214,MATCH("109",$B$6:$B$214,0)),"")</f>
        <v>371</v>
      </c>
      <c r="P109" s="9">
        <f>IF(COUNT(INDEX($K$6:$K$214,MATCH("107",$B$6:$B$214,0)),INDEX($L$6:$L$214,MATCH("107",$B$6:$B$214,0)),INDEX($L$6:$L$214,MATCH("108",$B$6:$B$214,0)),INDEX($L$6:$L$214,MATCH("109",$B$6:$B$214,0)))=4,INDEX($K$6:$K$214,MATCH("107",$B$6:$B$214,0))+14*INDEX($L$6:$L$214,MATCH("107",$B$6:$B$214,0))+15*INDEX($L$6:$L$214,MATCH("108",$B$6:$B$214,0))+70*INDEX($L$6:$L$214,MATCH("109",$B$6:$B$214,0)),"")</f>
        <v>2920</v>
      </c>
      <c r="Q109" s="9">
        <f>IF(COUNT(O109:P109)=2,O109*10+P109,"")</f>
        <v>6630</v>
      </c>
    </row>
    <row r="110" spans="2:17" ht="21.95" customHeight="1" x14ac:dyDescent="0.2">
      <c r="B110" s="4" t="s">
        <v>70</v>
      </c>
      <c r="C110" s="4" t="s">
        <v>71</v>
      </c>
      <c r="D110" s="4" t="s">
        <v>69</v>
      </c>
      <c r="E110" s="4" t="s">
        <v>20</v>
      </c>
      <c r="F110" s="4" t="s">
        <v>31</v>
      </c>
      <c r="G110" s="4" t="s">
        <v>32</v>
      </c>
      <c r="H110" s="4" t="s">
        <v>40</v>
      </c>
      <c r="I110" s="4" t="s">
        <v>31</v>
      </c>
      <c r="J110" s="4">
        <v>3</v>
      </c>
      <c r="K110" s="4" t="s">
        <v>31</v>
      </c>
      <c r="L110" s="4">
        <v>30</v>
      </c>
      <c r="M110" s="4" t="s">
        <v>31</v>
      </c>
      <c r="N110" s="4">
        <v>4</v>
      </c>
      <c r="O110" s="9">
        <f>IF(COUNT(INDEX($I$6:$I$214,MATCH("107",$B$6:$B$214,0)),INDEX($J$6:$J$214,MATCH("107",$B$6:$B$214,0)),INDEX($J$6:$J$214,MATCH("108",$B$6:$B$214,0)),INDEX($J$6:$J$214,MATCH("109",$B$6:$B$214,0)))=4,INDEX($I$6:$I$214,MATCH("107",$B$6:$B$214,0))+14*INDEX($J$6:$J$214,MATCH("107",$B$6:$B$214,0))+15*INDEX($J$6:$J$214,MATCH("108",$B$6:$B$214,0))+70*INDEX($J$6:$J$214,MATCH("109",$B$6:$B$214,0)),"")</f>
        <v>371</v>
      </c>
      <c r="P110" s="9">
        <f>IF(COUNT(INDEX($K$6:$K$214,MATCH("107",$B$6:$B$214,0)),INDEX($L$6:$L$214,MATCH("107",$B$6:$B$214,0)),INDEX($L$6:$L$214,MATCH("108",$B$6:$B$214,0)),INDEX($L$6:$L$214,MATCH("109",$B$6:$B$214,0)))=4,INDEX($K$6:$K$214,MATCH("107",$B$6:$B$214,0))+14*INDEX($L$6:$L$214,MATCH("107",$B$6:$B$214,0))+15*INDEX($L$6:$L$214,MATCH("108",$B$6:$B$214,0))+70*INDEX($L$6:$L$214,MATCH("109",$B$6:$B$214,0)),"")</f>
        <v>2920</v>
      </c>
      <c r="Q110" s="9">
        <f>IF(COUNT(O110:P110)=2,O110*10+P110,"")</f>
        <v>6630</v>
      </c>
    </row>
    <row r="111" spans="2:17" ht="21.95" customHeight="1" x14ac:dyDescent="0.2">
      <c r="B111" s="4" t="s">
        <v>72</v>
      </c>
      <c r="C111" s="4" t="s">
        <v>73</v>
      </c>
      <c r="D111" s="4" t="s">
        <v>69</v>
      </c>
      <c r="E111" s="4" t="s">
        <v>20</v>
      </c>
      <c r="F111" s="4" t="s">
        <v>31</v>
      </c>
      <c r="G111" s="4" t="s">
        <v>35</v>
      </c>
      <c r="H111" s="4" t="s">
        <v>40</v>
      </c>
      <c r="I111" s="4" t="s">
        <v>31</v>
      </c>
      <c r="J111" s="4">
        <v>4</v>
      </c>
      <c r="K111" s="4" t="s">
        <v>31</v>
      </c>
      <c r="L111" s="4">
        <v>30</v>
      </c>
      <c r="M111" s="4" t="s">
        <v>31</v>
      </c>
      <c r="N111" s="4">
        <v>4</v>
      </c>
      <c r="O111" s="9">
        <f>IF(COUNT(INDEX($I$6:$I$214,MATCH("107",$B$6:$B$214,0)),INDEX($J$6:$J$214,MATCH("107",$B$6:$B$214,0)),INDEX($J$6:$J$214,MATCH("108",$B$6:$B$214,0)),INDEX($J$6:$J$214,MATCH("109",$B$6:$B$214,0)))=4,INDEX($I$6:$I$214,MATCH("107",$B$6:$B$214,0))+14*INDEX($J$6:$J$214,MATCH("107",$B$6:$B$214,0))+15*INDEX($J$6:$J$214,MATCH("108",$B$6:$B$214,0))+70*INDEX($J$6:$J$214,MATCH("109",$B$6:$B$214,0)),"")</f>
        <v>371</v>
      </c>
      <c r="P111" s="9">
        <f>IF(COUNT(INDEX($K$6:$K$214,MATCH("107",$B$6:$B$214,0)),INDEX($L$6:$L$214,MATCH("107",$B$6:$B$214,0)),INDEX($L$6:$L$214,MATCH("108",$B$6:$B$214,0)),INDEX($L$6:$L$214,MATCH("109",$B$6:$B$214,0)))=4,INDEX($K$6:$K$214,MATCH("107",$B$6:$B$214,0))+14*INDEX($L$6:$L$214,MATCH("107",$B$6:$B$214,0))+15*INDEX($L$6:$L$214,MATCH("108",$B$6:$B$214,0))+70*INDEX($L$6:$L$214,MATCH("109",$B$6:$B$214,0)),"")</f>
        <v>2920</v>
      </c>
      <c r="Q111" s="9">
        <f>IF(COUNT(O111:P111)=2,O111*10+P111,"")</f>
        <v>6630</v>
      </c>
    </row>
    <row r="112" spans="2:17" ht="21.95" customHeight="1" x14ac:dyDescent="0.2">
      <c r="B112" s="4" t="s">
        <v>253</v>
      </c>
      <c r="C112" s="4" t="s">
        <v>254</v>
      </c>
      <c r="D112" s="4" t="s">
        <v>69</v>
      </c>
      <c r="E112" s="4" t="s">
        <v>20</v>
      </c>
      <c r="F112" s="4" t="s">
        <v>55</v>
      </c>
      <c r="G112" s="4" t="s">
        <v>22</v>
      </c>
      <c r="H112" s="4" t="s">
        <v>40</v>
      </c>
      <c r="I112" s="4">
        <v>2</v>
      </c>
      <c r="J112" s="4">
        <v>1</v>
      </c>
      <c r="K112" s="4">
        <v>110</v>
      </c>
      <c r="L112" s="4">
        <v>40</v>
      </c>
      <c r="M112" s="4">
        <v>4</v>
      </c>
      <c r="N112" s="4">
        <v>1</v>
      </c>
      <c r="O112" s="9">
        <f>IF(COUNT(INDEX($I$6:$I$214,MATCH("110",$B$6:$B$214,0)),INDEX($J$6:$J$214,MATCH("110",$B$6:$B$214,0)),INDEX($J$6:$J$214,MATCH("111",$B$6:$B$214,0)))=3,INDEX($I$6:$I$214,MATCH("110",$B$6:$B$214,0))+14*INDEX($J$6:$J$214,MATCH("110",$B$6:$B$214,0))+15*INDEX($J$6:$J$214,MATCH("111",$B$6:$B$214,0))+70*INDEX($J$6:$J$214,MATCH("111",$B$6:$B$214,0)),"")</f>
        <v>186</v>
      </c>
      <c r="P112" s="9">
        <f>IF(COUNT(INDEX($K$6:$K$214,MATCH("110",$B$6:$B$214,0)),INDEX($L$6:$L$214,MATCH("110",$B$6:$B$214,0)),INDEX($L$6:$L$214,MATCH("111",$B$6:$B$214,0)))=3,INDEX($K$6:$K$214,MATCH("110",$B$6:$B$214,0))+14*INDEX($L$6:$L$214,MATCH("110",$B$6:$B$214,0))+15*INDEX($L$6:$L$214,MATCH("111",$B$6:$B$214,0))+70*INDEX($L$6:$L$214,MATCH("111",$B$6:$B$214,0)),"")</f>
        <v>4920</v>
      </c>
      <c r="Q112" s="9">
        <f>IF(COUNT(O112:P112)=2,O112*10+P112,"")</f>
        <v>6780</v>
      </c>
    </row>
    <row r="113" spans="2:17" ht="21.95" customHeight="1" x14ac:dyDescent="0.2">
      <c r="B113" s="4" t="s">
        <v>255</v>
      </c>
      <c r="C113" s="4" t="s">
        <v>256</v>
      </c>
      <c r="D113" s="4" t="s">
        <v>69</v>
      </c>
      <c r="E113" s="4" t="s">
        <v>20</v>
      </c>
      <c r="F113" s="4" t="s">
        <v>31</v>
      </c>
      <c r="G113" s="4" t="s">
        <v>32</v>
      </c>
      <c r="H113" s="4" t="s">
        <v>40</v>
      </c>
      <c r="I113" s="4" t="s">
        <v>31</v>
      </c>
      <c r="J113" s="4">
        <v>2</v>
      </c>
      <c r="K113" s="4" t="s">
        <v>31</v>
      </c>
      <c r="L113" s="4">
        <v>50</v>
      </c>
      <c r="M113" s="4" t="s">
        <v>31</v>
      </c>
      <c r="N113" s="4">
        <v>2</v>
      </c>
      <c r="O113" s="9">
        <f>IF(COUNT(INDEX($I$6:$I$214,MATCH("110",$B$6:$B$214,0)),INDEX($J$6:$J$214,MATCH("110",$B$6:$B$214,0)),INDEX($J$6:$J$214,MATCH("111",$B$6:$B$214,0)))=3,INDEX($I$6:$I$214,MATCH("110",$B$6:$B$214,0))+14*INDEX($J$6:$J$214,MATCH("110",$B$6:$B$214,0))+15*INDEX($J$6:$J$214,MATCH("111",$B$6:$B$214,0))+70*INDEX($J$6:$J$214,MATCH("111",$B$6:$B$214,0)),"")</f>
        <v>186</v>
      </c>
      <c r="P113" s="9">
        <f>IF(COUNT(INDEX($K$6:$K$214,MATCH("110",$B$6:$B$214,0)),INDEX($L$6:$L$214,MATCH("110",$B$6:$B$214,0)),INDEX($L$6:$L$214,MATCH("111",$B$6:$B$214,0)))=3,INDEX($K$6:$K$214,MATCH("110",$B$6:$B$214,0))+14*INDEX($L$6:$L$214,MATCH("110",$B$6:$B$214,0))+15*INDEX($L$6:$L$214,MATCH("111",$B$6:$B$214,0))+70*INDEX($L$6:$L$214,MATCH("111",$B$6:$B$214,0)),"")</f>
        <v>4920</v>
      </c>
      <c r="Q113" s="9">
        <f>IF(COUNT(O113:P113)=2,O113*10+P113,"")</f>
        <v>6780</v>
      </c>
    </row>
    <row r="114" spans="2:17" ht="21.95" customHeight="1" x14ac:dyDescent="0.2">
      <c r="B114" s="4" t="s">
        <v>329</v>
      </c>
      <c r="C114" s="4" t="s">
        <v>330</v>
      </c>
      <c r="D114" s="4" t="s">
        <v>69</v>
      </c>
      <c r="E114" s="4" t="s">
        <v>20</v>
      </c>
      <c r="F114" s="4" t="s">
        <v>55</v>
      </c>
      <c r="G114" s="4" t="s">
        <v>22</v>
      </c>
      <c r="H114" s="4" t="s">
        <v>40</v>
      </c>
      <c r="I114" s="4">
        <v>1</v>
      </c>
      <c r="J114" s="4">
        <v>1</v>
      </c>
      <c r="K114" s="4">
        <v>10</v>
      </c>
      <c r="L114" s="4">
        <v>10</v>
      </c>
      <c r="M114" s="4">
        <v>1</v>
      </c>
      <c r="N114" s="4">
        <v>1</v>
      </c>
      <c r="O114" s="9">
        <f>IF(COUNT(INDEX($I$6:$I$214,MATCH("112",$B$6:$B$214,0)),INDEX($J$6:$J$214,MATCH("112",$B$6:$B$214,0)),INDEX($J$6:$J$214,MATCH("113",$B$6:$B$214,0)))=3,INDEX($I$6:$I$214,MATCH("112",$B$6:$B$214,0))+14*INDEX($J$6:$J$214,MATCH("112",$B$6:$B$214,0))+15*INDEX($J$6:$J$214,MATCH("113",$B$6:$B$214,0))+70*INDEX($J$6:$J$214,MATCH("113",$B$6:$B$214,0)),"")</f>
        <v>355</v>
      </c>
      <c r="P114" s="9">
        <f>IF(COUNT(INDEX($K$6:$K$214,MATCH("112",$B$6:$B$214,0)),INDEX($L$6:$L$214,MATCH("112",$B$6:$B$214,0)),INDEX($L$6:$L$214,MATCH("113",$B$6:$B$214,0)))=3,INDEX($K$6:$K$214,MATCH("112",$B$6:$B$214,0))+14*INDEX($L$6:$L$214,MATCH("112",$B$6:$B$214,0))+15*INDEX($L$6:$L$214,MATCH("113",$B$6:$B$214,0))+70*INDEX($L$6:$L$214,MATCH("113",$B$6:$B$214,0)),"")</f>
        <v>2700</v>
      </c>
      <c r="Q114" s="9">
        <f>IF(COUNT(O114:P114)=2,O114*10+P114,"")</f>
        <v>6250</v>
      </c>
    </row>
    <row r="115" spans="2:17" ht="21.95" customHeight="1" x14ac:dyDescent="0.2">
      <c r="B115" s="4" t="s">
        <v>331</v>
      </c>
      <c r="C115" s="4" t="s">
        <v>332</v>
      </c>
      <c r="D115" s="4" t="s">
        <v>69</v>
      </c>
      <c r="E115" s="4" t="s">
        <v>20</v>
      </c>
      <c r="F115" s="4" t="s">
        <v>31</v>
      </c>
      <c r="G115" s="4" t="s">
        <v>32</v>
      </c>
      <c r="H115" s="4" t="s">
        <v>40</v>
      </c>
      <c r="I115" s="4" t="s">
        <v>31</v>
      </c>
      <c r="J115" s="4">
        <v>4</v>
      </c>
      <c r="K115" s="4" t="s">
        <v>31</v>
      </c>
      <c r="L115" s="4">
        <v>30</v>
      </c>
      <c r="M115" s="4" t="s">
        <v>31</v>
      </c>
      <c r="N115" s="4">
        <v>6</v>
      </c>
      <c r="O115" s="9">
        <f>IF(COUNT(INDEX($I$6:$I$214,MATCH("112",$B$6:$B$214,0)),INDEX($J$6:$J$214,MATCH("112",$B$6:$B$214,0)),INDEX($J$6:$J$214,MATCH("113",$B$6:$B$214,0)))=3,INDEX($I$6:$I$214,MATCH("112",$B$6:$B$214,0))+14*INDEX($J$6:$J$214,MATCH("112",$B$6:$B$214,0))+15*INDEX($J$6:$J$214,MATCH("113",$B$6:$B$214,0))+70*INDEX($J$6:$J$214,MATCH("113",$B$6:$B$214,0)),"")</f>
        <v>355</v>
      </c>
      <c r="P115" s="9">
        <f>IF(COUNT(INDEX($K$6:$K$214,MATCH("112",$B$6:$B$214,0)),INDEX($L$6:$L$214,MATCH("112",$B$6:$B$214,0)),INDEX($L$6:$L$214,MATCH("113",$B$6:$B$214,0)))=3,INDEX($K$6:$K$214,MATCH("112",$B$6:$B$214,0))+14*INDEX($L$6:$L$214,MATCH("112",$B$6:$B$214,0))+15*INDEX($L$6:$L$214,MATCH("113",$B$6:$B$214,0))+70*INDEX($L$6:$L$214,MATCH("113",$B$6:$B$214,0)),"")</f>
        <v>2700</v>
      </c>
      <c r="Q115" s="9">
        <f>IF(COUNT(O115:P115)=2,O115*10+P115,"")</f>
        <v>6250</v>
      </c>
    </row>
    <row r="116" spans="2:17" ht="21.95" customHeight="1" x14ac:dyDescent="0.2">
      <c r="B116" s="4" t="s">
        <v>337</v>
      </c>
      <c r="C116" s="4" t="s">
        <v>338</v>
      </c>
      <c r="D116" s="4" t="s">
        <v>69</v>
      </c>
      <c r="E116" s="4" t="s">
        <v>20</v>
      </c>
      <c r="F116" s="4" t="s">
        <v>55</v>
      </c>
      <c r="G116" s="4" t="s">
        <v>22</v>
      </c>
      <c r="H116" s="4" t="s">
        <v>40</v>
      </c>
      <c r="I116" s="4">
        <v>2</v>
      </c>
      <c r="J116" s="4">
        <v>2</v>
      </c>
      <c r="K116" s="4">
        <v>100</v>
      </c>
      <c r="L116" s="4">
        <v>40</v>
      </c>
      <c r="M116" s="4">
        <v>4</v>
      </c>
      <c r="N116" s="4">
        <v>3</v>
      </c>
      <c r="O116" s="9">
        <f>IF(COUNT(INDEX($I$6:$I$214,MATCH("114",$B$6:$B$214,0)),INDEX($J$6:$J$214,MATCH("114",$B$6:$B$214,0)))=2,INDEX($I$6:$I$214,MATCH("114",$B$6:$B$214,0))+14*INDEX($J$6:$J$214,MATCH("114",$B$6:$B$214,0))+15*INDEX($J$6:$J$214,MATCH("114",$B$6:$B$214,0))+70*INDEX($J$6:$J$214,MATCH("114",$B$6:$B$214,0)),"")</f>
        <v>200</v>
      </c>
      <c r="P116" s="9">
        <f>IF(COUNT(INDEX($K$6:$K$214,MATCH("114",$B$6:$B$214,0)),INDEX($L$6:$L$214,MATCH("114",$B$6:$B$214,0)))=2,INDEX($K$6:$K$214,MATCH("114",$B$6:$B$214,0))+14*INDEX($L$6:$L$214,MATCH("114",$B$6:$B$214,0))+15*INDEX($L$6:$L$214,MATCH("114",$B$6:$B$214,0))+70*INDEX($L$6:$L$214,MATCH("114",$B$6:$B$214,0)),"")</f>
        <v>4060</v>
      </c>
      <c r="Q116" s="9">
        <f>IF(COUNT(O116:P116)=2,O116*10+P116,"")</f>
        <v>6060</v>
      </c>
    </row>
    <row r="117" spans="2:17" ht="21.95" customHeight="1" x14ac:dyDescent="0.2">
      <c r="B117" s="4" t="s">
        <v>124</v>
      </c>
      <c r="C117" s="4" t="s">
        <v>125</v>
      </c>
      <c r="D117" s="4" t="s">
        <v>69</v>
      </c>
      <c r="E117" s="4" t="s">
        <v>27</v>
      </c>
      <c r="F117" s="4" t="s">
        <v>21</v>
      </c>
      <c r="G117" s="4" t="s">
        <v>22</v>
      </c>
      <c r="H117" s="4" t="s">
        <v>23</v>
      </c>
      <c r="I117" s="4">
        <v>3</v>
      </c>
      <c r="J117" s="4">
        <v>1</v>
      </c>
      <c r="K117" s="4">
        <v>110</v>
      </c>
      <c r="L117" s="4">
        <v>30</v>
      </c>
      <c r="M117" s="4">
        <v>4</v>
      </c>
      <c r="N117" s="4">
        <v>1</v>
      </c>
      <c r="O117" s="9">
        <f>IF(COUNT(INDEX($I$6:$I$214,MATCH("115",$B$6:$B$214,0)),INDEX($J$6:$J$214,MATCH("115",$B$6:$B$214,0)),INDEX($J$6:$J$214,MATCH("116",$B$6:$B$214,0)),INDEX($J$6:$J$214,MATCH("117",$B$6:$B$214,0)))=4,INDEX($I$6:$I$214,MATCH("115",$B$6:$B$214,0))+14*INDEX($J$6:$J$214,MATCH("115",$B$6:$B$214,0))+15*INDEX($J$6:$J$214,MATCH("116",$B$6:$B$214,0))+70*INDEX($J$6:$J$214,MATCH("117",$B$6:$B$214,0)),"")</f>
        <v>327</v>
      </c>
      <c r="P117" s="9">
        <f>IF(COUNT(INDEX($K$6:$K$214,MATCH("115",$B$6:$B$214,0)),INDEX($L$6:$L$214,MATCH("115",$B$6:$B$214,0)),INDEX($L$6:$L$214,MATCH("116",$B$6:$B$214,0)),INDEX($L$6:$L$214,MATCH("117",$B$6:$B$214,0)))=4,INDEX($K$6:$K$214,MATCH("115",$B$6:$B$214,0))+14*INDEX($L$6:$L$214,MATCH("115",$B$6:$B$214,0))+15*INDEX($L$6:$L$214,MATCH("116",$B$6:$B$214,0))+70*INDEX($L$6:$L$214,MATCH("117",$B$6:$B$214,0)),"")</f>
        <v>4630</v>
      </c>
      <c r="Q117" s="9">
        <f>IF(COUNT(O117:P117)=2,O117*10+P117,"")</f>
        <v>7900</v>
      </c>
    </row>
    <row r="118" spans="2:17" ht="21.95" customHeight="1" x14ac:dyDescent="0.2">
      <c r="B118" s="4" t="s">
        <v>126</v>
      </c>
      <c r="C118" s="4" t="s">
        <v>127</v>
      </c>
      <c r="D118" s="4" t="s">
        <v>69</v>
      </c>
      <c r="E118" s="4" t="s">
        <v>27</v>
      </c>
      <c r="F118" s="4" t="s">
        <v>31</v>
      </c>
      <c r="G118" s="4" t="s">
        <v>32</v>
      </c>
      <c r="H118" s="4" t="s">
        <v>23</v>
      </c>
      <c r="I118" s="4" t="s">
        <v>31</v>
      </c>
      <c r="J118" s="4">
        <v>2</v>
      </c>
      <c r="K118" s="4" t="s">
        <v>31</v>
      </c>
      <c r="L118" s="4">
        <v>40</v>
      </c>
      <c r="M118" s="4" t="s">
        <v>31</v>
      </c>
      <c r="N118" s="4">
        <v>2</v>
      </c>
      <c r="O118" s="9">
        <f>IF(COUNT(INDEX($I$6:$I$214,MATCH("115",$B$6:$B$214,0)),INDEX($J$6:$J$214,MATCH("115",$B$6:$B$214,0)),INDEX($J$6:$J$214,MATCH("116",$B$6:$B$214,0)),INDEX($J$6:$J$214,MATCH("117",$B$6:$B$214,0)))=4,INDEX($I$6:$I$214,MATCH("115",$B$6:$B$214,0))+14*INDEX($J$6:$J$214,MATCH("115",$B$6:$B$214,0))+15*INDEX($J$6:$J$214,MATCH("116",$B$6:$B$214,0))+70*INDEX($J$6:$J$214,MATCH("117",$B$6:$B$214,0)),"")</f>
        <v>327</v>
      </c>
      <c r="P118" s="9">
        <f>IF(COUNT(INDEX($K$6:$K$214,MATCH("115",$B$6:$B$214,0)),INDEX($L$6:$L$214,MATCH("115",$B$6:$B$214,0)),INDEX($L$6:$L$214,MATCH("116",$B$6:$B$214,0)),INDEX($L$6:$L$214,MATCH("117",$B$6:$B$214,0)))=4,INDEX($K$6:$K$214,MATCH("115",$B$6:$B$214,0))+14*INDEX($L$6:$L$214,MATCH("115",$B$6:$B$214,0))+15*INDEX($L$6:$L$214,MATCH("116",$B$6:$B$214,0))+70*INDEX($L$6:$L$214,MATCH("117",$B$6:$B$214,0)),"")</f>
        <v>4630</v>
      </c>
      <c r="Q118" s="9">
        <f>IF(COUNT(O118:P118)=2,O118*10+P118,"")</f>
        <v>7900</v>
      </c>
    </row>
    <row r="119" spans="2:17" ht="21.95" customHeight="1" x14ac:dyDescent="0.2">
      <c r="B119" s="4" t="s">
        <v>128</v>
      </c>
      <c r="C119" s="4" t="s">
        <v>129</v>
      </c>
      <c r="D119" s="4" t="s">
        <v>69</v>
      </c>
      <c r="E119" s="4" t="s">
        <v>27</v>
      </c>
      <c r="F119" s="4" t="s">
        <v>31</v>
      </c>
      <c r="G119" s="4" t="s">
        <v>35</v>
      </c>
      <c r="H119" s="4" t="s">
        <v>23</v>
      </c>
      <c r="I119" s="4" t="s">
        <v>31</v>
      </c>
      <c r="J119" s="4">
        <v>4</v>
      </c>
      <c r="K119" s="4" t="s">
        <v>31</v>
      </c>
      <c r="L119" s="4">
        <v>50</v>
      </c>
      <c r="M119" s="4" t="s">
        <v>31</v>
      </c>
      <c r="N119" s="4">
        <v>3</v>
      </c>
      <c r="O119" s="9">
        <f>IF(COUNT(INDEX($I$6:$I$214,MATCH("115",$B$6:$B$214,0)),INDEX($J$6:$J$214,MATCH("115",$B$6:$B$214,0)),INDEX($J$6:$J$214,MATCH("116",$B$6:$B$214,0)),INDEX($J$6:$J$214,MATCH("117",$B$6:$B$214,0)))=4,INDEX($I$6:$I$214,MATCH("115",$B$6:$B$214,0))+14*INDEX($J$6:$J$214,MATCH("115",$B$6:$B$214,0))+15*INDEX($J$6:$J$214,MATCH("116",$B$6:$B$214,0))+70*INDEX($J$6:$J$214,MATCH("117",$B$6:$B$214,0)),"")</f>
        <v>327</v>
      </c>
      <c r="P119" s="9">
        <f>IF(COUNT(INDEX($K$6:$K$214,MATCH("115",$B$6:$B$214,0)),INDEX($L$6:$L$214,MATCH("115",$B$6:$B$214,0)),INDEX($L$6:$L$214,MATCH("116",$B$6:$B$214,0)),INDEX($L$6:$L$214,MATCH("117",$B$6:$B$214,0)))=4,INDEX($K$6:$K$214,MATCH("115",$B$6:$B$214,0))+14*INDEX($L$6:$L$214,MATCH("115",$B$6:$B$214,0))+15*INDEX($L$6:$L$214,MATCH("116",$B$6:$B$214,0))+70*INDEX($L$6:$L$214,MATCH("117",$B$6:$B$214,0)),"")</f>
        <v>4630</v>
      </c>
      <c r="Q119" s="9">
        <f>IF(COUNT(O119:P119)=2,O119*10+P119,"")</f>
        <v>7900</v>
      </c>
    </row>
    <row r="120" spans="2:17" ht="21.95" customHeight="1" x14ac:dyDescent="0.2">
      <c r="B120" s="4" t="s">
        <v>161</v>
      </c>
      <c r="C120" s="4" t="s">
        <v>162</v>
      </c>
      <c r="D120" s="4" t="s">
        <v>69</v>
      </c>
      <c r="E120" s="4" t="s">
        <v>27</v>
      </c>
      <c r="F120" s="4" t="s">
        <v>21</v>
      </c>
      <c r="G120" s="4" t="s">
        <v>22</v>
      </c>
      <c r="H120" s="4" t="s">
        <v>23</v>
      </c>
      <c r="I120" s="4">
        <v>4</v>
      </c>
      <c r="J120" s="4">
        <v>1</v>
      </c>
      <c r="K120" s="4">
        <v>60</v>
      </c>
      <c r="L120" s="4">
        <v>30</v>
      </c>
      <c r="M120" s="4">
        <v>8</v>
      </c>
      <c r="N120" s="4">
        <v>3</v>
      </c>
      <c r="O120" s="9">
        <f>IF(COUNT(INDEX($I$6:$I$214,MATCH("118",$B$6:$B$214,0)),INDEX($J$6:$J$214,MATCH("118",$B$6:$B$214,0)),INDEX($J$6:$J$214,MATCH("119",$B$6:$B$214,0)),INDEX($J$6:$J$214,MATCH("120",$B$6:$B$214,0)))=4,INDEX($I$6:$I$214,MATCH("118",$B$6:$B$214,0))+14*INDEX($J$6:$J$214,MATCH("118",$B$6:$B$214,0))+15*INDEX($J$6:$J$214,MATCH("119",$B$6:$B$214,0))+70*INDEX($J$6:$J$214,MATCH("120",$B$6:$B$214,0)),"")</f>
        <v>258</v>
      </c>
      <c r="P120" s="9">
        <f>IF(COUNT(INDEX($K$6:$K$214,MATCH("118",$B$6:$B$214,0)),INDEX($L$6:$L$214,MATCH("118",$B$6:$B$214,0)),INDEX($L$6:$L$214,MATCH("119",$B$6:$B$214,0)),INDEX($L$6:$L$214,MATCH("120",$B$6:$B$214,0)))=4,INDEX($K$6:$K$214,MATCH("118",$B$6:$B$214,0))+14*INDEX($L$6:$L$214,MATCH("118",$B$6:$B$214,0))+15*INDEX($L$6:$L$214,MATCH("119",$B$6:$B$214,0))+70*INDEX($L$6:$L$214,MATCH("120",$B$6:$B$214,0)),"")</f>
        <v>4580</v>
      </c>
      <c r="Q120" s="9">
        <f>IF(COUNT(O120:P120)=2,O120*10+P120,"")</f>
        <v>7160</v>
      </c>
    </row>
    <row r="121" spans="2:17" ht="21.95" customHeight="1" x14ac:dyDescent="0.2">
      <c r="B121" s="4" t="s">
        <v>163</v>
      </c>
      <c r="C121" s="4" t="s">
        <v>164</v>
      </c>
      <c r="D121" s="4" t="s">
        <v>69</v>
      </c>
      <c r="E121" s="4" t="s">
        <v>27</v>
      </c>
      <c r="F121" s="4" t="s">
        <v>31</v>
      </c>
      <c r="G121" s="4" t="s">
        <v>32</v>
      </c>
      <c r="H121" s="4" t="s">
        <v>23</v>
      </c>
      <c r="I121" s="4" t="s">
        <v>31</v>
      </c>
      <c r="J121" s="4">
        <v>2</v>
      </c>
      <c r="K121" s="4" t="s">
        <v>31</v>
      </c>
      <c r="L121" s="4">
        <v>40</v>
      </c>
      <c r="M121" s="4" t="s">
        <v>31</v>
      </c>
      <c r="N121" s="4">
        <v>4</v>
      </c>
      <c r="O121" s="9">
        <f>IF(COUNT(INDEX($I$6:$I$214,MATCH("118",$B$6:$B$214,0)),INDEX($J$6:$J$214,MATCH("118",$B$6:$B$214,0)),INDEX($J$6:$J$214,MATCH("119",$B$6:$B$214,0)),INDEX($J$6:$J$214,MATCH("120",$B$6:$B$214,0)))=4,INDEX($I$6:$I$214,MATCH("118",$B$6:$B$214,0))+14*INDEX($J$6:$J$214,MATCH("118",$B$6:$B$214,0))+15*INDEX($J$6:$J$214,MATCH("119",$B$6:$B$214,0))+70*INDEX($J$6:$J$214,MATCH("120",$B$6:$B$214,0)),"")</f>
        <v>258</v>
      </c>
      <c r="P121" s="9">
        <f>IF(COUNT(INDEX($K$6:$K$214,MATCH("118",$B$6:$B$214,0)),INDEX($L$6:$L$214,MATCH("118",$B$6:$B$214,0)),INDEX($L$6:$L$214,MATCH("119",$B$6:$B$214,0)),INDEX($L$6:$L$214,MATCH("120",$B$6:$B$214,0)))=4,INDEX($K$6:$K$214,MATCH("118",$B$6:$B$214,0))+14*INDEX($L$6:$L$214,MATCH("118",$B$6:$B$214,0))+15*INDEX($L$6:$L$214,MATCH("119",$B$6:$B$214,0))+70*INDEX($L$6:$L$214,MATCH("120",$B$6:$B$214,0)),"")</f>
        <v>4580</v>
      </c>
      <c r="Q121" s="9">
        <f>IF(COUNT(O121:P121)=2,O121*10+P121,"")</f>
        <v>7160</v>
      </c>
    </row>
    <row r="122" spans="2:17" ht="21.95" customHeight="1" x14ac:dyDescent="0.2">
      <c r="B122" s="4" t="s">
        <v>165</v>
      </c>
      <c r="C122" s="4" t="s">
        <v>166</v>
      </c>
      <c r="D122" s="4" t="s">
        <v>69</v>
      </c>
      <c r="E122" s="4" t="s">
        <v>27</v>
      </c>
      <c r="F122" s="4" t="s">
        <v>31</v>
      </c>
      <c r="G122" s="4" t="s">
        <v>35</v>
      </c>
      <c r="H122" s="4" t="s">
        <v>23</v>
      </c>
      <c r="I122" s="4" t="s">
        <v>31</v>
      </c>
      <c r="J122" s="4">
        <v>3</v>
      </c>
      <c r="K122" s="4" t="s">
        <v>31</v>
      </c>
      <c r="L122" s="4">
        <v>50</v>
      </c>
      <c r="M122" s="4" t="s">
        <v>31</v>
      </c>
      <c r="N122" s="4">
        <v>5</v>
      </c>
      <c r="O122" s="9">
        <f>IF(COUNT(INDEX($I$6:$I$214,MATCH("118",$B$6:$B$214,0)),INDEX($J$6:$J$214,MATCH("118",$B$6:$B$214,0)),INDEX($J$6:$J$214,MATCH("119",$B$6:$B$214,0)),INDEX($J$6:$J$214,MATCH("120",$B$6:$B$214,0)))=4,INDEX($I$6:$I$214,MATCH("118",$B$6:$B$214,0))+14*INDEX($J$6:$J$214,MATCH("118",$B$6:$B$214,0))+15*INDEX($J$6:$J$214,MATCH("119",$B$6:$B$214,0))+70*INDEX($J$6:$J$214,MATCH("120",$B$6:$B$214,0)),"")</f>
        <v>258</v>
      </c>
      <c r="P122" s="9">
        <f>IF(COUNT(INDEX($K$6:$K$214,MATCH("118",$B$6:$B$214,0)),INDEX($L$6:$L$214,MATCH("118",$B$6:$B$214,0)),INDEX($L$6:$L$214,MATCH("119",$B$6:$B$214,0)),INDEX($L$6:$L$214,MATCH("120",$B$6:$B$214,0)))=4,INDEX($K$6:$K$214,MATCH("118",$B$6:$B$214,0))+14*INDEX($L$6:$L$214,MATCH("118",$B$6:$B$214,0))+15*INDEX($L$6:$L$214,MATCH("119",$B$6:$B$214,0))+70*INDEX($L$6:$L$214,MATCH("120",$B$6:$B$214,0)),"")</f>
        <v>4580</v>
      </c>
      <c r="Q122" s="9">
        <f>IF(COUNT(O122:P122)=2,O122*10+P122,"")</f>
        <v>7160</v>
      </c>
    </row>
    <row r="123" spans="2:17" ht="21.95" customHeight="1" x14ac:dyDescent="0.2">
      <c r="B123" s="4" t="s">
        <v>315</v>
      </c>
      <c r="C123" s="4" t="s">
        <v>316</v>
      </c>
      <c r="D123" s="4" t="s">
        <v>69</v>
      </c>
      <c r="E123" s="4" t="s">
        <v>27</v>
      </c>
      <c r="F123" s="4" t="s">
        <v>21</v>
      </c>
      <c r="G123" s="4" t="s">
        <v>22</v>
      </c>
      <c r="H123" s="4" t="s">
        <v>23</v>
      </c>
      <c r="I123" s="4">
        <v>2</v>
      </c>
      <c r="J123" s="4">
        <v>1</v>
      </c>
      <c r="K123" s="4">
        <v>70</v>
      </c>
      <c r="L123" s="4">
        <v>40</v>
      </c>
      <c r="M123" s="4">
        <v>4</v>
      </c>
      <c r="N123" s="4">
        <v>1</v>
      </c>
      <c r="O123" s="9">
        <f>IF(COUNT(INDEX($I$6:$I$214,MATCH("121",$B$6:$B$214,0)),INDEX($J$6:$J$214,MATCH("121",$B$6:$B$214,0)),INDEX($J$6:$J$214,MATCH("122",$B$6:$B$214,0)))=3,INDEX($I$6:$I$214,MATCH("121",$B$6:$B$214,0))+14*INDEX($J$6:$J$214,MATCH("121",$B$6:$B$214,0))+15*INDEX($J$6:$J$214,MATCH("122",$B$6:$B$214,0))+70*INDEX($J$6:$J$214,MATCH("122",$B$6:$B$214,0)),"")</f>
        <v>271</v>
      </c>
      <c r="P123" s="9">
        <f>IF(COUNT(INDEX($K$6:$K$214,MATCH("121",$B$6:$B$214,0)),INDEX($L$6:$L$214,MATCH("121",$B$6:$B$214,0)),INDEX($L$6:$L$214,MATCH("122",$B$6:$B$214,0)))=3,INDEX($K$6:$K$214,MATCH("121",$B$6:$B$214,0))+14*INDEX($L$6:$L$214,MATCH("121",$B$6:$B$214,0))+15*INDEX($L$6:$L$214,MATCH("122",$B$6:$B$214,0))+70*INDEX($L$6:$L$214,MATCH("122",$B$6:$B$214,0)),"")</f>
        <v>4880</v>
      </c>
      <c r="Q123" s="9">
        <f>IF(COUNT(O123:P123)=2,O123*10+P123,"")</f>
        <v>7590</v>
      </c>
    </row>
    <row r="124" spans="2:17" ht="21.95" customHeight="1" x14ac:dyDescent="0.2">
      <c r="B124" s="4" t="s">
        <v>317</v>
      </c>
      <c r="C124" s="4" t="s">
        <v>318</v>
      </c>
      <c r="D124" s="4" t="s">
        <v>69</v>
      </c>
      <c r="E124" s="4" t="s">
        <v>27</v>
      </c>
      <c r="F124" s="4" t="s">
        <v>31</v>
      </c>
      <c r="G124" s="4" t="s">
        <v>32</v>
      </c>
      <c r="H124" s="4" t="s">
        <v>23</v>
      </c>
      <c r="I124" s="4" t="s">
        <v>31</v>
      </c>
      <c r="J124" s="4">
        <v>3</v>
      </c>
      <c r="K124" s="4" t="s">
        <v>31</v>
      </c>
      <c r="L124" s="4">
        <v>50</v>
      </c>
      <c r="M124" s="4" t="s">
        <v>31</v>
      </c>
      <c r="N124" s="4">
        <v>6</v>
      </c>
      <c r="O124" s="9">
        <f>IF(COUNT(INDEX($I$6:$I$214,MATCH("121",$B$6:$B$214,0)),INDEX($J$6:$J$214,MATCH("121",$B$6:$B$214,0)),INDEX($J$6:$J$214,MATCH("122",$B$6:$B$214,0)))=3,INDEX($I$6:$I$214,MATCH("121",$B$6:$B$214,0))+14*INDEX($J$6:$J$214,MATCH("121",$B$6:$B$214,0))+15*INDEX($J$6:$J$214,MATCH("122",$B$6:$B$214,0))+70*INDEX($J$6:$J$214,MATCH("122",$B$6:$B$214,0)),"")</f>
        <v>271</v>
      </c>
      <c r="P124" s="9">
        <f>IF(COUNT(INDEX($K$6:$K$214,MATCH("121",$B$6:$B$214,0)),INDEX($L$6:$L$214,MATCH("121",$B$6:$B$214,0)),INDEX($L$6:$L$214,MATCH("122",$B$6:$B$214,0)))=3,INDEX($K$6:$K$214,MATCH("121",$B$6:$B$214,0))+14*INDEX($L$6:$L$214,MATCH("121",$B$6:$B$214,0))+15*INDEX($L$6:$L$214,MATCH("122",$B$6:$B$214,0))+70*INDEX($L$6:$L$214,MATCH("122",$B$6:$B$214,0)),"")</f>
        <v>4880</v>
      </c>
      <c r="Q124" s="9">
        <f>IF(COUNT(O124:P124)=2,O124*10+P124,"")</f>
        <v>7590</v>
      </c>
    </row>
    <row r="125" spans="2:17" ht="22.5" customHeight="1" x14ac:dyDescent="0.2">
      <c r="B125" s="4" t="s">
        <v>185</v>
      </c>
      <c r="C125" s="4" t="s">
        <v>186</v>
      </c>
      <c r="D125" s="4" t="s">
        <v>69</v>
      </c>
      <c r="E125" s="4" t="s">
        <v>27</v>
      </c>
      <c r="F125" s="4" t="s">
        <v>21</v>
      </c>
      <c r="G125" s="4" t="s">
        <v>22</v>
      </c>
      <c r="H125" s="4" t="s">
        <v>40</v>
      </c>
      <c r="I125" s="4">
        <v>1</v>
      </c>
      <c r="J125" s="4">
        <v>1</v>
      </c>
      <c r="K125" s="4">
        <v>150</v>
      </c>
      <c r="L125" s="4">
        <v>65</v>
      </c>
      <c r="M125" s="4">
        <v>1</v>
      </c>
      <c r="N125" s="4">
        <v>1</v>
      </c>
      <c r="O125" s="9">
        <f>IF(COUNT(INDEX($I$6:$I$214,MATCH("123",$B$6:$B$214,0)),INDEX($J$6:$J$214,MATCH("123",$B$6:$B$214,0)))=2,INDEX($I$6:$I$214,MATCH("123",$B$6:$B$214,0))+14*INDEX($J$6:$J$214,MATCH("123",$B$6:$B$214,0))+15*INDEX($J$6:$J$214,MATCH("123",$B$6:$B$214,0))+70*INDEX($J$6:$J$214,MATCH("123",$B$6:$B$214,0)),"")</f>
        <v>100</v>
      </c>
      <c r="P125" s="9">
        <f>IF(COUNT(INDEX($K$6:$K$214,MATCH("123",$B$6:$B$214,0)),INDEX($L$6:$L$214,MATCH("123",$B$6:$B$214,0)))=2,INDEX($K$6:$K$214,MATCH("123",$B$6:$B$214,0))+14*INDEX($L$6:$L$214,MATCH("123",$B$6:$B$214,0))+15*INDEX($L$6:$L$214,MATCH("123",$B$6:$B$214,0))+70*INDEX($L$6:$L$214,MATCH("123",$B$6:$B$214,0)),"")</f>
        <v>6585</v>
      </c>
      <c r="Q125" s="9">
        <f>IF(COUNT(O125:P125)=2,O125*10+P125,"")</f>
        <v>7585</v>
      </c>
    </row>
    <row r="126" spans="2:17" ht="21.95" customHeight="1" x14ac:dyDescent="0.2">
      <c r="B126" s="4" t="s">
        <v>309</v>
      </c>
      <c r="C126" s="4" t="s">
        <v>310</v>
      </c>
      <c r="D126" s="4" t="s">
        <v>103</v>
      </c>
      <c r="E126" s="4" t="s">
        <v>38</v>
      </c>
      <c r="F126" s="4" t="s">
        <v>39</v>
      </c>
      <c r="G126" s="4" t="s">
        <v>22</v>
      </c>
      <c r="H126" s="4" t="s">
        <v>40</v>
      </c>
      <c r="I126" s="4">
        <v>1</v>
      </c>
      <c r="J126" s="4">
        <v>1</v>
      </c>
      <c r="K126" s="4">
        <v>110</v>
      </c>
      <c r="L126" s="4">
        <v>20</v>
      </c>
      <c r="M126" s="4">
        <v>2</v>
      </c>
      <c r="N126" s="4">
        <v>1</v>
      </c>
      <c r="O126" s="9">
        <f>IF(COUNT(INDEX($I$6:$I$214,MATCH("125",$B$6:$B$214,0)),INDEX($J$6:$J$214,MATCH("125",$B$6:$B$214,0)),INDEX($J$6:$J$214,MATCH("126",$B$6:$B$214,0)),INDEX($J$6:$J$214,MATCH("127",$B$6:$B$214,0)))=4,INDEX($I$6:$I$214,MATCH("125",$B$6:$B$214,0))+14*INDEX($J$6:$J$214,MATCH("125",$B$6:$B$214,0))+15*INDEX($J$6:$J$214,MATCH("126",$B$6:$B$214,0))+70*INDEX($J$6:$J$214,MATCH("127",$B$6:$B$214,0)),"")</f>
        <v>185</v>
      </c>
      <c r="P126" s="9">
        <f>IF(COUNT(INDEX($K$6:$K$214,MATCH("125",$B$6:$B$214,0)),INDEX($L$6:$L$214,MATCH("125",$B$6:$B$214,0)),INDEX($L$6:$L$214,MATCH("126",$B$6:$B$214,0)),INDEX($L$6:$L$214,MATCH("127",$B$6:$B$214,0)))=4,INDEX($K$6:$K$214,MATCH("125",$B$6:$B$214,0))+14*INDEX($L$6:$L$214,MATCH("125",$B$6:$B$214,0))+15*INDEX($L$6:$L$214,MATCH("126",$B$6:$B$214,0))+70*INDEX($L$6:$L$214,MATCH("127",$B$6:$B$214,0)),"")</f>
        <v>3640</v>
      </c>
      <c r="Q126" s="9">
        <f>IF(COUNT(O126:P126)=2,O126*10+P126,"")</f>
        <v>5490</v>
      </c>
    </row>
    <row r="127" spans="2:17" ht="21.95" customHeight="1" x14ac:dyDescent="0.2">
      <c r="B127" s="4" t="s">
        <v>311</v>
      </c>
      <c r="C127" s="4" t="s">
        <v>312</v>
      </c>
      <c r="D127" s="4" t="s">
        <v>103</v>
      </c>
      <c r="E127" s="4" t="s">
        <v>38</v>
      </c>
      <c r="F127" s="4" t="s">
        <v>31</v>
      </c>
      <c r="G127" s="4" t="s">
        <v>32</v>
      </c>
      <c r="H127" s="4" t="s">
        <v>40</v>
      </c>
      <c r="I127" s="4" t="s">
        <v>31</v>
      </c>
      <c r="J127" s="4">
        <v>2</v>
      </c>
      <c r="K127" s="4" t="s">
        <v>31</v>
      </c>
      <c r="L127" s="4">
        <v>30</v>
      </c>
      <c r="M127" s="4" t="s">
        <v>31</v>
      </c>
      <c r="N127" s="4">
        <v>2</v>
      </c>
      <c r="O127" s="9">
        <f>IF(COUNT(INDEX($I$6:$I$214,MATCH("125",$B$6:$B$214,0)),INDEX($J$6:$J$214,MATCH("125",$B$6:$B$214,0)),INDEX($J$6:$J$214,MATCH("126",$B$6:$B$214,0)),INDEX($J$6:$J$214,MATCH("127",$B$6:$B$214,0)))=4,INDEX($I$6:$I$214,MATCH("125",$B$6:$B$214,0))+14*INDEX($J$6:$J$214,MATCH("125",$B$6:$B$214,0))+15*INDEX($J$6:$J$214,MATCH("126",$B$6:$B$214,0))+70*INDEX($J$6:$J$214,MATCH("127",$B$6:$B$214,0)),"")</f>
        <v>185</v>
      </c>
      <c r="P127" s="9">
        <f>IF(COUNT(INDEX($K$6:$K$214,MATCH("125",$B$6:$B$214,0)),INDEX($L$6:$L$214,MATCH("125",$B$6:$B$214,0)),INDEX($L$6:$L$214,MATCH("126",$B$6:$B$214,0)),INDEX($L$6:$L$214,MATCH("127",$B$6:$B$214,0)))=4,INDEX($K$6:$K$214,MATCH("125",$B$6:$B$214,0))+14*INDEX($L$6:$L$214,MATCH("125",$B$6:$B$214,0))+15*INDEX($L$6:$L$214,MATCH("126",$B$6:$B$214,0))+70*INDEX($L$6:$L$214,MATCH("127",$B$6:$B$214,0)),"")</f>
        <v>3640</v>
      </c>
      <c r="Q127" s="9">
        <f>IF(COUNT(O127:P127)=2,O127*10+P127,"")</f>
        <v>5490</v>
      </c>
    </row>
    <row r="128" spans="2:17" ht="21.95" customHeight="1" x14ac:dyDescent="0.2">
      <c r="B128" s="4" t="s">
        <v>313</v>
      </c>
      <c r="C128" s="4" t="s">
        <v>314</v>
      </c>
      <c r="D128" s="4" t="s">
        <v>103</v>
      </c>
      <c r="E128" s="4" t="s">
        <v>38</v>
      </c>
      <c r="F128" s="4" t="s">
        <v>31</v>
      </c>
      <c r="G128" s="4" t="s">
        <v>35</v>
      </c>
      <c r="H128" s="4" t="s">
        <v>40</v>
      </c>
      <c r="I128" s="4" t="s">
        <v>31</v>
      </c>
      <c r="J128" s="4">
        <v>2</v>
      </c>
      <c r="K128" s="4" t="s">
        <v>31</v>
      </c>
      <c r="L128" s="4">
        <v>40</v>
      </c>
      <c r="M128" s="4" t="s">
        <v>31</v>
      </c>
      <c r="N128" s="4">
        <v>3</v>
      </c>
      <c r="O128" s="9">
        <f>IF(COUNT(INDEX($I$6:$I$214,MATCH("125",$B$6:$B$214,0)),INDEX($J$6:$J$214,MATCH("125",$B$6:$B$214,0)),INDEX($J$6:$J$214,MATCH("126",$B$6:$B$214,0)),INDEX($J$6:$J$214,MATCH("127",$B$6:$B$214,0)))=4,INDEX($I$6:$I$214,MATCH("125",$B$6:$B$214,0))+14*INDEX($J$6:$J$214,MATCH("125",$B$6:$B$214,0))+15*INDEX($J$6:$J$214,MATCH("126",$B$6:$B$214,0))+70*INDEX($J$6:$J$214,MATCH("127",$B$6:$B$214,0)),"")</f>
        <v>185</v>
      </c>
      <c r="P128" s="9">
        <f>IF(COUNT(INDEX($K$6:$K$214,MATCH("125",$B$6:$B$214,0)),INDEX($L$6:$L$214,MATCH("125",$B$6:$B$214,0)),INDEX($L$6:$L$214,MATCH("126",$B$6:$B$214,0)),INDEX($L$6:$L$214,MATCH("127",$B$6:$B$214,0)))=4,INDEX($K$6:$K$214,MATCH("125",$B$6:$B$214,0))+14*INDEX($L$6:$L$214,MATCH("125",$B$6:$B$214,0))+15*INDEX($L$6:$L$214,MATCH("126",$B$6:$B$214,0))+70*INDEX($L$6:$L$214,MATCH("127",$B$6:$B$214,0)),"")</f>
        <v>3640</v>
      </c>
      <c r="Q128" s="9">
        <f>IF(COUNT(O128:P128)=2,O128*10+P128,"")</f>
        <v>5490</v>
      </c>
    </row>
    <row r="129" spans="2:17" ht="21.95" customHeight="1" x14ac:dyDescent="0.2">
      <c r="B129" s="4" t="s">
        <v>257</v>
      </c>
      <c r="C129" s="4" t="s">
        <v>258</v>
      </c>
      <c r="D129" s="4" t="s">
        <v>103</v>
      </c>
      <c r="E129" s="4" t="s">
        <v>38</v>
      </c>
      <c r="F129" s="4" t="s">
        <v>39</v>
      </c>
      <c r="G129" s="4" t="s">
        <v>22</v>
      </c>
      <c r="H129" s="4" t="s">
        <v>40</v>
      </c>
      <c r="I129" s="4">
        <v>4</v>
      </c>
      <c r="J129" s="4">
        <v>1</v>
      </c>
      <c r="K129" s="4">
        <v>90</v>
      </c>
      <c r="L129" s="4">
        <v>30</v>
      </c>
      <c r="M129" s="4">
        <v>7</v>
      </c>
      <c r="N129" s="4">
        <v>5</v>
      </c>
      <c r="O129" s="9">
        <f>IF(COUNT(INDEX($I$6:$I$214,MATCH("128",$B$6:$B$214,0)),INDEX($J$6:$J$214,MATCH("128",$B$6:$B$214,0)),INDEX($J$6:$J$214,MATCH("129",$B$6:$B$214,0)))=3,INDEX($I$6:$I$214,MATCH("128",$B$6:$B$214,0))+14*INDEX($J$6:$J$214,MATCH("128",$B$6:$B$214,0))+15*INDEX($J$6:$J$214,MATCH("129",$B$6:$B$214,0))+70*INDEX($J$6:$J$214,MATCH("129",$B$6:$B$214,0)),"")</f>
        <v>188</v>
      </c>
      <c r="P129" s="9">
        <f>IF(COUNT(INDEX($K$6:$K$214,MATCH("128",$B$6:$B$214,0)),INDEX($L$6:$L$214,MATCH("128",$B$6:$B$214,0)),INDEX($L$6:$L$214,MATCH("129",$B$6:$B$214,0)))=3,INDEX($K$6:$K$214,MATCH("128",$B$6:$B$214,0))+14*INDEX($L$6:$L$214,MATCH("128",$B$6:$B$214,0))+15*INDEX($L$6:$L$214,MATCH("129",$B$6:$B$214,0))+70*INDEX($L$6:$L$214,MATCH("129",$B$6:$B$214,0)),"")</f>
        <v>3910</v>
      </c>
      <c r="Q129" s="9">
        <f>IF(COUNT(O129:P129)=2,O129*10+P129,"")</f>
        <v>5790</v>
      </c>
    </row>
    <row r="130" spans="2:17" ht="21.95" customHeight="1" x14ac:dyDescent="0.2">
      <c r="B130" s="4" t="s">
        <v>259</v>
      </c>
      <c r="C130" s="4" t="s">
        <v>260</v>
      </c>
      <c r="D130" s="4" t="s">
        <v>103</v>
      </c>
      <c r="E130" s="4" t="s">
        <v>38</v>
      </c>
      <c r="F130" s="4" t="s">
        <v>31</v>
      </c>
      <c r="G130" s="4" t="s">
        <v>32</v>
      </c>
      <c r="H130" s="4" t="s">
        <v>40</v>
      </c>
      <c r="I130" s="4" t="s">
        <v>31</v>
      </c>
      <c r="J130" s="4">
        <v>2</v>
      </c>
      <c r="K130" s="4" t="s">
        <v>31</v>
      </c>
      <c r="L130" s="4">
        <v>40</v>
      </c>
      <c r="M130" s="4" t="s">
        <v>31</v>
      </c>
      <c r="N130" s="4">
        <v>5</v>
      </c>
      <c r="O130" s="9">
        <f>IF(COUNT(INDEX($I$6:$I$214,MATCH("128",$B$6:$B$214,0)),INDEX($J$6:$J$214,MATCH("128",$B$6:$B$214,0)),INDEX($J$6:$J$214,MATCH("129",$B$6:$B$214,0)))=3,INDEX($I$6:$I$214,MATCH("128",$B$6:$B$214,0))+14*INDEX($J$6:$J$214,MATCH("128",$B$6:$B$214,0))+15*INDEX($J$6:$J$214,MATCH("129",$B$6:$B$214,0))+70*INDEX($J$6:$J$214,MATCH("129",$B$6:$B$214,0)),"")</f>
        <v>188</v>
      </c>
      <c r="P130" s="9">
        <f>IF(COUNT(INDEX($K$6:$K$214,MATCH("128",$B$6:$B$214,0)),INDEX($L$6:$L$214,MATCH("128",$B$6:$B$214,0)),INDEX($L$6:$L$214,MATCH("129",$B$6:$B$214,0)))=3,INDEX($K$6:$K$214,MATCH("128",$B$6:$B$214,0))+14*INDEX($L$6:$L$214,MATCH("128",$B$6:$B$214,0))+15*INDEX($L$6:$L$214,MATCH("129",$B$6:$B$214,0))+70*INDEX($L$6:$L$214,MATCH("129",$B$6:$B$214,0)),"")</f>
        <v>3910</v>
      </c>
      <c r="Q130" s="9">
        <f>IF(COUNT(O130:P130)=2,O130*10+P130,"")</f>
        <v>5790</v>
      </c>
    </row>
    <row r="131" spans="2:17" ht="21.95" customHeight="1" x14ac:dyDescent="0.2">
      <c r="B131" s="4" t="s">
        <v>455</v>
      </c>
      <c r="C131" s="4" t="s">
        <v>456</v>
      </c>
      <c r="D131" s="4" t="s">
        <v>103</v>
      </c>
      <c r="E131" s="4" t="s">
        <v>38</v>
      </c>
      <c r="F131" s="4" t="s">
        <v>39</v>
      </c>
      <c r="G131" s="4" t="s">
        <v>22</v>
      </c>
      <c r="H131" s="4" t="s">
        <v>40</v>
      </c>
      <c r="I131" s="4">
        <v>5</v>
      </c>
      <c r="J131" s="4">
        <v>3</v>
      </c>
      <c r="K131" s="4">
        <v>100</v>
      </c>
      <c r="L131" s="4">
        <v>20</v>
      </c>
      <c r="M131" s="4">
        <v>4</v>
      </c>
      <c r="N131" s="4">
        <v>1</v>
      </c>
      <c r="O131" s="9">
        <f>IF(COUNT(INDEX($I$6:$I$214,MATCH("130",$B$6:$B$214,0)),INDEX($J$6:$J$214,MATCH("130",$B$6:$B$214,0)))=2,INDEX($I$6:$I$214,MATCH("130",$B$6:$B$214,0))+14*INDEX($J$6:$J$214,MATCH("130",$B$6:$B$214,0))+15*INDEX($J$6:$J$214,MATCH("130",$B$6:$B$214,0))+70*INDEX($J$6:$J$214,MATCH("130",$B$6:$B$214,0)),"")</f>
        <v>302</v>
      </c>
      <c r="P131" s="9">
        <f>IF(COUNT(INDEX($K$6:$K$214,MATCH("130",$B$6:$B$214,0)),INDEX($L$6:$L$214,MATCH("130",$B$6:$B$214,0)))=2,INDEX($K$6:$K$214,MATCH("130",$B$6:$B$214,0))+14*INDEX($L$6:$L$214,MATCH("130",$B$6:$B$214,0))+15*INDEX($L$6:$L$214,MATCH("130",$B$6:$B$214,0))+70*INDEX($L$6:$L$214,MATCH("130",$B$6:$B$214,0)),"")</f>
        <v>2080</v>
      </c>
      <c r="Q131" s="9">
        <f>IF(COUNT(O131:P131)=2,O131*10+P131,"")</f>
        <v>5100</v>
      </c>
    </row>
    <row r="132" spans="2:17" ht="21.95" customHeight="1" x14ac:dyDescent="0.2">
      <c r="B132" s="4" t="s">
        <v>407</v>
      </c>
      <c r="C132" s="4" t="s">
        <v>408</v>
      </c>
      <c r="D132" s="4" t="s">
        <v>103</v>
      </c>
      <c r="E132" s="4" t="s">
        <v>38</v>
      </c>
      <c r="F132" s="4" t="s">
        <v>39</v>
      </c>
      <c r="G132" s="4" t="s">
        <v>22</v>
      </c>
      <c r="H132" s="4" t="s">
        <v>40</v>
      </c>
      <c r="I132" s="4">
        <v>4</v>
      </c>
      <c r="J132" s="4">
        <v>3</v>
      </c>
      <c r="K132" s="4">
        <v>70</v>
      </c>
      <c r="L132" s="4">
        <v>20</v>
      </c>
      <c r="M132" s="4">
        <v>4</v>
      </c>
      <c r="N132" s="4">
        <v>2</v>
      </c>
      <c r="O132" s="9">
        <f>IF(COUNT(INDEX($I$6:$I$214,MATCH("131",$B$6:$B$214,0)),INDEX($J$6:$J$214,MATCH("131",$B$6:$B$214,0)))=2,INDEX($I$6:$I$214,MATCH("131",$B$6:$B$214,0))+14*INDEX($J$6:$J$214,MATCH("131",$B$6:$B$214,0))+15*INDEX($J$6:$J$214,MATCH("131",$B$6:$B$214,0))+70*INDEX($J$6:$J$214,MATCH("131",$B$6:$B$214,0)),"")</f>
        <v>301</v>
      </c>
      <c r="P132" s="9">
        <f>IF(COUNT(INDEX($K$6:$K$214,MATCH("131",$B$6:$B$214,0)),INDEX($L$6:$L$214,MATCH("131",$B$6:$B$214,0)))=2,INDEX($K$6:$K$214,MATCH("131",$B$6:$B$214,0))+14*INDEX($L$6:$L$214,MATCH("131",$B$6:$B$214,0))+15*INDEX($L$6:$L$214,MATCH("131",$B$6:$B$214,0))+70*INDEX($L$6:$L$214,MATCH("131",$B$6:$B$214,0)),"")</f>
        <v>2050</v>
      </c>
      <c r="Q132" s="9">
        <f>IF(COUNT(O132:P132)=2,O132*10+P132,"")</f>
        <v>5060</v>
      </c>
    </row>
    <row r="133" spans="2:17" ht="21.95" customHeight="1" x14ac:dyDescent="0.2">
      <c r="B133" s="4" t="s">
        <v>397</v>
      </c>
      <c r="C133" s="4" t="s">
        <v>398</v>
      </c>
      <c r="D133" s="4" t="s">
        <v>103</v>
      </c>
      <c r="E133" s="4" t="s">
        <v>38</v>
      </c>
      <c r="F133" s="4" t="s">
        <v>39</v>
      </c>
      <c r="G133" s="4" t="s">
        <v>22</v>
      </c>
      <c r="H133" s="4" t="s">
        <v>40</v>
      </c>
      <c r="I133" s="4">
        <v>5</v>
      </c>
      <c r="J133" s="4">
        <v>2</v>
      </c>
      <c r="K133" s="4">
        <v>100</v>
      </c>
      <c r="L133" s="4">
        <v>30</v>
      </c>
      <c r="M133" s="4">
        <v>4</v>
      </c>
      <c r="N133" s="4">
        <v>2</v>
      </c>
      <c r="O133" s="9">
        <f>IF(COUNT(INDEX($I$6:$I$214,MATCH("132",$B$6:$B$214,0)),INDEX($J$6:$J$214,MATCH("132",$B$6:$B$214,0)))=2,INDEX($I$6:$I$214,MATCH("132",$B$6:$B$214,0))+14*INDEX($J$6:$J$214,MATCH("132",$B$6:$B$214,0))+15*INDEX($J$6:$J$214,MATCH("132",$B$6:$B$214,0))+70*INDEX($J$6:$J$214,MATCH("132",$B$6:$B$214,0)),"")</f>
        <v>203</v>
      </c>
      <c r="P133" s="9">
        <f>IF(COUNT(INDEX($K$6:$K$214,MATCH("132",$B$6:$B$214,0)),INDEX($L$6:$L$214,MATCH("132",$B$6:$B$214,0)))=2,INDEX($K$6:$K$214,MATCH("132",$B$6:$B$214,0))+14*INDEX($L$6:$L$214,MATCH("132",$B$6:$B$214,0))+15*INDEX($L$6:$L$214,MATCH("132",$B$6:$B$214,0))+70*INDEX($L$6:$L$214,MATCH("132",$B$6:$B$214,0)),"")</f>
        <v>3070</v>
      </c>
      <c r="Q133" s="9">
        <f>IF(COUNT(O133:P133)=2,O133*10+P133,"")</f>
        <v>5100</v>
      </c>
    </row>
    <row r="134" spans="2:17" ht="21.95" customHeight="1" x14ac:dyDescent="0.2">
      <c r="B134" s="4" t="s">
        <v>277</v>
      </c>
      <c r="C134" s="4" t="s">
        <v>278</v>
      </c>
      <c r="D134" s="4" t="s">
        <v>103</v>
      </c>
      <c r="E134" s="4" t="s">
        <v>20</v>
      </c>
      <c r="F134" s="4" t="s">
        <v>21</v>
      </c>
      <c r="G134" s="4" t="s">
        <v>22</v>
      </c>
      <c r="H134" s="4" t="s">
        <v>40</v>
      </c>
      <c r="I134" s="4">
        <v>3</v>
      </c>
      <c r="J134" s="4">
        <v>2</v>
      </c>
      <c r="K134" s="4">
        <v>100</v>
      </c>
      <c r="L134" s="4">
        <v>30</v>
      </c>
      <c r="M134" s="4">
        <v>9</v>
      </c>
      <c r="N134" s="4">
        <v>4</v>
      </c>
      <c r="O134" s="9">
        <f>IF(COUNT(INDEX($I$6:$I$214,MATCH("133",$B$6:$B$214,0)),INDEX($J$6:$J$214,MATCH("133",$B$6:$B$214,0)),INDEX($J$6:$J$214,MATCH("134",$B$6:$B$214,0)),INDEX($J$6:$J$214,MATCH("135",$B$6:$B$214,0)))=4,INDEX($I$6:$I$214,MATCH("133",$B$6:$B$214,0))+14*INDEX($J$6:$J$214,MATCH("133",$B$6:$B$214,0))+15*INDEX($J$6:$J$214,MATCH("134",$B$6:$B$214,0))+70*INDEX($J$6:$J$214,MATCH("135",$B$6:$B$214,0)),"")</f>
        <v>271</v>
      </c>
      <c r="P134" s="9">
        <f>IF(COUNT(INDEX($K$6:$K$214,MATCH("133",$B$6:$B$214,0)),INDEX($L$6:$L$214,MATCH("133",$B$6:$B$214,0)),INDEX($L$6:$L$214,MATCH("134",$B$6:$B$214,0)),INDEX($L$6:$L$214,MATCH("135",$B$6:$B$214,0)))=4,INDEX($K$6:$K$214,MATCH("133",$B$6:$B$214,0))+14*INDEX($L$6:$L$214,MATCH("133",$B$6:$B$214,0))+15*INDEX($L$6:$L$214,MATCH("134",$B$6:$B$214,0))+70*INDEX($L$6:$L$214,MATCH("135",$B$6:$B$214,0)),"")</f>
        <v>3920</v>
      </c>
      <c r="Q134" s="9">
        <f>IF(COUNT(O134:P134)=2,O134*10+P134,"")</f>
        <v>6630</v>
      </c>
    </row>
    <row r="135" spans="2:17" ht="21.95" customHeight="1" x14ac:dyDescent="0.2">
      <c r="B135" s="4" t="s">
        <v>279</v>
      </c>
      <c r="C135" s="4" t="s">
        <v>280</v>
      </c>
      <c r="D135" s="4" t="s">
        <v>103</v>
      </c>
      <c r="E135" s="4" t="s">
        <v>20</v>
      </c>
      <c r="F135" s="4" t="s">
        <v>31</v>
      </c>
      <c r="G135" s="4" t="s">
        <v>32</v>
      </c>
      <c r="H135" s="4" t="s">
        <v>40</v>
      </c>
      <c r="I135" s="4" t="s">
        <v>31</v>
      </c>
      <c r="J135" s="4">
        <v>2</v>
      </c>
      <c r="K135" s="4" t="s">
        <v>31</v>
      </c>
      <c r="L135" s="4">
        <v>40</v>
      </c>
      <c r="M135" s="4" t="s">
        <v>31</v>
      </c>
      <c r="N135" s="4">
        <v>4</v>
      </c>
      <c r="O135" s="9">
        <f>IF(COUNT(INDEX($I$6:$I$214,MATCH("133",$B$6:$B$214,0)),INDEX($J$6:$J$214,MATCH("133",$B$6:$B$214,0)),INDEX($J$6:$J$214,MATCH("134",$B$6:$B$214,0)),INDEX($J$6:$J$214,MATCH("135",$B$6:$B$214,0)))=4,INDEX($I$6:$I$214,MATCH("133",$B$6:$B$214,0))+14*INDEX($J$6:$J$214,MATCH("133",$B$6:$B$214,0))+15*INDEX($J$6:$J$214,MATCH("134",$B$6:$B$214,0))+70*INDEX($J$6:$J$214,MATCH("135",$B$6:$B$214,0)),"")</f>
        <v>271</v>
      </c>
      <c r="P135" s="9">
        <f>IF(COUNT(INDEX($K$6:$K$214,MATCH("133",$B$6:$B$214,0)),INDEX($L$6:$L$214,MATCH("133",$B$6:$B$214,0)),INDEX($L$6:$L$214,MATCH("134",$B$6:$B$214,0)),INDEX($L$6:$L$214,MATCH("135",$B$6:$B$214,0)))=4,INDEX($K$6:$K$214,MATCH("133",$B$6:$B$214,0))+14*INDEX($L$6:$L$214,MATCH("133",$B$6:$B$214,0))+15*INDEX($L$6:$L$214,MATCH("134",$B$6:$B$214,0))+70*INDEX($L$6:$L$214,MATCH("135",$B$6:$B$214,0)),"")</f>
        <v>3920</v>
      </c>
      <c r="Q135" s="9">
        <f>IF(COUNT(O135:P135)=2,O135*10+P135,"")</f>
        <v>6630</v>
      </c>
    </row>
    <row r="136" spans="2:17" ht="21.95" customHeight="1" x14ac:dyDescent="0.2">
      <c r="B136" s="4" t="s">
        <v>281</v>
      </c>
      <c r="C136" s="4" t="s">
        <v>282</v>
      </c>
      <c r="D136" s="4" t="s">
        <v>103</v>
      </c>
      <c r="E136" s="4" t="s">
        <v>20</v>
      </c>
      <c r="F136" s="4" t="s">
        <v>31</v>
      </c>
      <c r="G136" s="4" t="s">
        <v>35</v>
      </c>
      <c r="H136" s="4" t="s">
        <v>40</v>
      </c>
      <c r="I136" s="4" t="s">
        <v>31</v>
      </c>
      <c r="J136" s="4">
        <v>3</v>
      </c>
      <c r="K136" s="4" t="s">
        <v>31</v>
      </c>
      <c r="L136" s="4">
        <v>40</v>
      </c>
      <c r="M136" s="4" t="s">
        <v>31</v>
      </c>
      <c r="N136" s="4">
        <v>5</v>
      </c>
      <c r="O136" s="9">
        <f>IF(COUNT(INDEX($I$6:$I$214,MATCH("133",$B$6:$B$214,0)),INDEX($J$6:$J$214,MATCH("133",$B$6:$B$214,0)),INDEX($J$6:$J$214,MATCH("134",$B$6:$B$214,0)),INDEX($J$6:$J$214,MATCH("135",$B$6:$B$214,0)))=4,INDEX($I$6:$I$214,MATCH("133",$B$6:$B$214,0))+14*INDEX($J$6:$J$214,MATCH("133",$B$6:$B$214,0))+15*INDEX($J$6:$J$214,MATCH("134",$B$6:$B$214,0))+70*INDEX($J$6:$J$214,MATCH("135",$B$6:$B$214,0)),"")</f>
        <v>271</v>
      </c>
      <c r="P136" s="9">
        <f>IF(COUNT(INDEX($K$6:$K$214,MATCH("133",$B$6:$B$214,0)),INDEX($L$6:$L$214,MATCH("133",$B$6:$B$214,0)),INDEX($L$6:$L$214,MATCH("134",$B$6:$B$214,0)),INDEX($L$6:$L$214,MATCH("135",$B$6:$B$214,0)))=4,INDEX($K$6:$K$214,MATCH("133",$B$6:$B$214,0))+14*INDEX($L$6:$L$214,MATCH("133",$B$6:$B$214,0))+15*INDEX($L$6:$L$214,MATCH("134",$B$6:$B$214,0))+70*INDEX($L$6:$L$214,MATCH("135",$B$6:$B$214,0)),"")</f>
        <v>3920</v>
      </c>
      <c r="Q136" s="9">
        <f>IF(COUNT(O136:P136)=2,O136*10+P136,"")</f>
        <v>6630</v>
      </c>
    </row>
    <row r="137" spans="2:17" ht="21.95" customHeight="1" x14ac:dyDescent="0.2">
      <c r="B137" s="4" t="s">
        <v>101</v>
      </c>
      <c r="C137" s="4" t="s">
        <v>102</v>
      </c>
      <c r="D137" s="4" t="s">
        <v>103</v>
      </c>
      <c r="E137" s="4" t="s">
        <v>20</v>
      </c>
      <c r="F137" s="4" t="s">
        <v>21</v>
      </c>
      <c r="G137" s="4" t="s">
        <v>22</v>
      </c>
      <c r="H137" s="4" t="s">
        <v>23</v>
      </c>
      <c r="I137" s="4">
        <v>4</v>
      </c>
      <c r="J137" s="4">
        <v>1</v>
      </c>
      <c r="K137" s="4">
        <v>20</v>
      </c>
      <c r="L137" s="4">
        <v>30</v>
      </c>
      <c r="M137" s="4">
        <v>7</v>
      </c>
      <c r="N137" s="4">
        <v>5</v>
      </c>
      <c r="O137" s="9">
        <f>IF(COUNT(INDEX($I$6:$I$214,MATCH("136",$B$6:$B$214,0)),INDEX($J$6:$J$214,MATCH("136",$B$6:$B$214,0)),INDEX($J$6:$J$214,MATCH("137",$B$6:$B$214,0)))=3,INDEX($I$6:$I$214,MATCH("136",$B$6:$B$214,0))+14*INDEX($J$6:$J$214,MATCH("136",$B$6:$B$214,0))+15*INDEX($J$6:$J$214,MATCH("137",$B$6:$B$214,0))+70*INDEX($J$6:$J$214,MATCH("137",$B$6:$B$214,0)),"")</f>
        <v>358</v>
      </c>
      <c r="P137" s="9">
        <f>IF(COUNT(INDEX($K$6:$K$214,MATCH("136",$B$6:$B$214,0)),INDEX($L$6:$L$214,MATCH("136",$B$6:$B$214,0)),INDEX($L$6:$L$214,MATCH("137",$B$6:$B$214,0)))=3,INDEX($K$6:$K$214,MATCH("136",$B$6:$B$214,0))+14*INDEX($L$6:$L$214,MATCH("136",$B$6:$B$214,0))+15*INDEX($L$6:$L$214,MATCH("137",$B$6:$B$214,0))+70*INDEX($L$6:$L$214,MATCH("137",$B$6:$B$214,0)),"")</f>
        <v>3415</v>
      </c>
      <c r="Q137" s="9">
        <f>IF(COUNT(O137:P137)=2,O137*10+P137,"")</f>
        <v>6995</v>
      </c>
    </row>
    <row r="138" spans="2:17" ht="21.95" customHeight="1" x14ac:dyDescent="0.2">
      <c r="B138" s="4" t="s">
        <v>104</v>
      </c>
      <c r="C138" s="4" t="s">
        <v>105</v>
      </c>
      <c r="D138" s="4" t="s">
        <v>103</v>
      </c>
      <c r="E138" s="4" t="s">
        <v>20</v>
      </c>
      <c r="F138" s="4" t="s">
        <v>31</v>
      </c>
      <c r="G138" s="4" t="s">
        <v>32</v>
      </c>
      <c r="H138" s="4" t="s">
        <v>23</v>
      </c>
      <c r="I138" s="4" t="s">
        <v>31</v>
      </c>
      <c r="J138" s="4">
        <v>4</v>
      </c>
      <c r="K138" s="4" t="s">
        <v>31</v>
      </c>
      <c r="L138" s="4">
        <v>35</v>
      </c>
      <c r="M138" s="4" t="s">
        <v>31</v>
      </c>
      <c r="N138" s="4">
        <v>5</v>
      </c>
      <c r="O138" s="9">
        <f>IF(COUNT(INDEX($I$6:$I$214,MATCH("136",$B$6:$B$214,0)),INDEX($J$6:$J$214,MATCH("136",$B$6:$B$214,0)),INDEX($J$6:$J$214,MATCH("137",$B$6:$B$214,0)))=3,INDEX($I$6:$I$214,MATCH("136",$B$6:$B$214,0))+14*INDEX($J$6:$J$214,MATCH("136",$B$6:$B$214,0))+15*INDEX($J$6:$J$214,MATCH("137",$B$6:$B$214,0))+70*INDEX($J$6:$J$214,MATCH("137",$B$6:$B$214,0)),"")</f>
        <v>358</v>
      </c>
      <c r="P138" s="9">
        <f>IF(COUNT(INDEX($K$6:$K$214,MATCH("136",$B$6:$B$214,0)),INDEX($L$6:$L$214,MATCH("136",$B$6:$B$214,0)),INDEX($L$6:$L$214,MATCH("137",$B$6:$B$214,0)))=3,INDEX($K$6:$K$214,MATCH("136",$B$6:$B$214,0))+14*INDEX($L$6:$L$214,MATCH("136",$B$6:$B$214,0))+15*INDEX($L$6:$L$214,MATCH("137",$B$6:$B$214,0))+70*INDEX($L$6:$L$214,MATCH("137",$B$6:$B$214,0)),"")</f>
        <v>3415</v>
      </c>
      <c r="Q138" s="9">
        <f>IF(COUNT(O138:P138)=2,O138*10+P138,"")</f>
        <v>6995</v>
      </c>
    </row>
    <row r="139" spans="2:17" ht="21.95" customHeight="1" x14ac:dyDescent="0.2">
      <c r="B139" s="4" t="s">
        <v>415</v>
      </c>
      <c r="C139" s="4" t="s">
        <v>416</v>
      </c>
      <c r="D139" s="4" t="s">
        <v>103</v>
      </c>
      <c r="E139" s="4" t="s">
        <v>20</v>
      </c>
      <c r="F139" s="4" t="s">
        <v>21</v>
      </c>
      <c r="G139" s="4" t="s">
        <v>22</v>
      </c>
      <c r="H139" s="4" t="s">
        <v>40</v>
      </c>
      <c r="I139" s="4">
        <v>3</v>
      </c>
      <c r="J139" s="4">
        <v>4</v>
      </c>
      <c r="K139" s="4">
        <v>70</v>
      </c>
      <c r="L139" s="4">
        <v>20</v>
      </c>
      <c r="M139" s="4">
        <v>3</v>
      </c>
      <c r="N139" s="4">
        <v>2</v>
      </c>
      <c r="O139" s="9">
        <f>IF(COUNT(INDEX($I$6:$I$214,MATCH("138",$B$6:$B$214,0)),INDEX($J$6:$J$214,MATCH("138",$B$6:$B$214,0)))=2,INDEX($I$6:$I$214,MATCH("138",$B$6:$B$214,0))+14*INDEX($J$6:$J$214,MATCH("138",$B$6:$B$214,0))+15*INDEX($J$6:$J$214,MATCH("138",$B$6:$B$214,0))+70*INDEX($J$6:$J$214,MATCH("138",$B$6:$B$214,0)),"")</f>
        <v>399</v>
      </c>
      <c r="P139" s="9">
        <f>IF(COUNT(INDEX($K$6:$K$214,MATCH("138",$B$6:$B$214,0)),INDEX($L$6:$L$214,MATCH("138",$B$6:$B$214,0)))=2,INDEX($K$6:$K$214,MATCH("138",$B$6:$B$214,0))+14*INDEX($L$6:$L$214,MATCH("138",$B$6:$B$214,0))+15*INDEX($L$6:$L$214,MATCH("138",$B$6:$B$214,0))+70*INDEX($L$6:$L$214,MATCH("138",$B$6:$B$214,0)),"")</f>
        <v>2050</v>
      </c>
      <c r="Q139" s="9">
        <f>IF(COUNT(O139:P139)=2,O139*10+P139,"")</f>
        <v>6040</v>
      </c>
    </row>
    <row r="140" spans="2:17" ht="21.95" customHeight="1" x14ac:dyDescent="0.2">
      <c r="B140" s="4" t="s">
        <v>339</v>
      </c>
      <c r="C140" s="4" t="s">
        <v>340</v>
      </c>
      <c r="D140" s="4" t="s">
        <v>103</v>
      </c>
      <c r="E140" s="4" t="s">
        <v>20</v>
      </c>
      <c r="F140" s="4" t="s">
        <v>21</v>
      </c>
      <c r="G140" s="4" t="s">
        <v>22</v>
      </c>
      <c r="H140" s="4" t="s">
        <v>40</v>
      </c>
      <c r="I140" s="4">
        <v>2</v>
      </c>
      <c r="J140" s="4">
        <v>2</v>
      </c>
      <c r="K140" s="4">
        <v>100</v>
      </c>
      <c r="L140" s="4">
        <v>40</v>
      </c>
      <c r="M140" s="4">
        <v>3</v>
      </c>
      <c r="N140" s="4">
        <v>2</v>
      </c>
      <c r="O140" s="9">
        <f>IF(COUNT(INDEX($I$6:$I$214,MATCH("139",$B$6:$B$214,0)),INDEX($J$6:$J$214,MATCH("139",$B$6:$B$214,0)))=2,INDEX($I$6:$I$214,MATCH("139",$B$6:$B$214,0))+14*INDEX($J$6:$J$214,MATCH("139",$B$6:$B$214,0))+15*INDEX($J$6:$J$214,MATCH("139",$B$6:$B$214,0))+70*INDEX($J$6:$J$214,MATCH("139",$B$6:$B$214,0)),"")</f>
        <v>200</v>
      </c>
      <c r="P140" s="9">
        <f>IF(COUNT(INDEX($K$6:$K$214,MATCH("139",$B$6:$B$214,0)),INDEX($L$6:$L$214,MATCH("139",$B$6:$B$214,0)))=2,INDEX($K$6:$K$214,MATCH("139",$B$6:$B$214,0))+14*INDEX($L$6:$L$214,MATCH("139",$B$6:$B$214,0))+15*INDEX($L$6:$L$214,MATCH("139",$B$6:$B$214,0))+70*INDEX($L$6:$L$214,MATCH("139",$B$6:$B$214,0)),"")</f>
        <v>4060</v>
      </c>
      <c r="Q140" s="9">
        <f>IF(COUNT(O140:P140)=2,O140*10+P140,"")</f>
        <v>6060</v>
      </c>
    </row>
    <row r="141" spans="2:17" ht="21.95" customHeight="1" x14ac:dyDescent="0.2">
      <c r="B141" s="4" t="s">
        <v>167</v>
      </c>
      <c r="C141" s="4" t="s">
        <v>168</v>
      </c>
      <c r="D141" s="4" t="s">
        <v>103</v>
      </c>
      <c r="E141" s="4" t="s">
        <v>27</v>
      </c>
      <c r="F141" s="4" t="s">
        <v>28</v>
      </c>
      <c r="G141" s="4" t="s">
        <v>22</v>
      </c>
      <c r="H141" s="4" t="s">
        <v>23</v>
      </c>
      <c r="I141" s="4">
        <v>4</v>
      </c>
      <c r="J141" s="4">
        <v>3</v>
      </c>
      <c r="K141" s="4">
        <v>60</v>
      </c>
      <c r="L141" s="4">
        <v>20</v>
      </c>
      <c r="M141" s="4">
        <v>7</v>
      </c>
      <c r="N141" s="4">
        <v>3</v>
      </c>
      <c r="O141" s="9">
        <f>IF(COUNT(INDEX($I$6:$I$214,MATCH("140",$B$6:$B$214,0)),INDEX($J$6:$J$214,MATCH("140",$B$6:$B$214,0)),INDEX($J$6:$J$214,MATCH("141",$B$6:$B$214,0)),INDEX($J$6:$J$214,MATCH("142",$B$6:$B$214,0)))=4,INDEX($I$6:$I$214,MATCH("140",$B$6:$B$214,0))+14*INDEX($J$6:$J$214,MATCH("140",$B$6:$B$214,0))+15*INDEX($J$6:$J$214,MATCH("141",$B$6:$B$214,0))+70*INDEX($J$6:$J$214,MATCH("142",$B$6:$B$214,0)),"")</f>
        <v>456</v>
      </c>
      <c r="P141" s="9">
        <f>IF(COUNT(INDEX($K$6:$K$214,MATCH("140",$B$6:$B$214,0)),INDEX($L$6:$L$214,MATCH("140",$B$6:$B$214,0)),INDEX($L$6:$L$214,MATCH("141",$B$6:$B$214,0)),INDEX($L$6:$L$214,MATCH("142",$B$6:$B$214,0)))=4,INDEX($K$6:$K$214,MATCH("140",$B$6:$B$214,0))+14*INDEX($L$6:$L$214,MATCH("140",$B$6:$B$214,0))+15*INDEX($L$6:$L$214,MATCH("141",$B$6:$B$214,0))+70*INDEX($L$6:$L$214,MATCH("142",$B$6:$B$214,0)),"")</f>
        <v>2890</v>
      </c>
      <c r="Q141" s="9">
        <f>IF(COUNT(O141:P141)=2,O141*10+P141,"")</f>
        <v>7450</v>
      </c>
    </row>
    <row r="142" spans="2:17" ht="21.95" customHeight="1" x14ac:dyDescent="0.2">
      <c r="B142" s="4" t="s">
        <v>169</v>
      </c>
      <c r="C142" s="4" t="s">
        <v>170</v>
      </c>
      <c r="D142" s="4" t="s">
        <v>103</v>
      </c>
      <c r="E142" s="4" t="s">
        <v>27</v>
      </c>
      <c r="F142" s="4" t="s">
        <v>31</v>
      </c>
      <c r="G142" s="4" t="s">
        <v>32</v>
      </c>
      <c r="H142" s="4" t="s">
        <v>23</v>
      </c>
      <c r="I142" s="4" t="s">
        <v>31</v>
      </c>
      <c r="J142" s="4">
        <v>4</v>
      </c>
      <c r="K142" s="4" t="s">
        <v>31</v>
      </c>
      <c r="L142" s="4">
        <v>30</v>
      </c>
      <c r="M142" s="4" t="s">
        <v>31</v>
      </c>
      <c r="N142" s="4">
        <v>4</v>
      </c>
      <c r="O142" s="9">
        <f>IF(COUNT(INDEX($I$6:$I$214,MATCH("140",$B$6:$B$214,0)),INDEX($J$6:$J$214,MATCH("140",$B$6:$B$214,0)),INDEX($J$6:$J$214,MATCH("141",$B$6:$B$214,0)),INDEX($J$6:$J$214,MATCH("142",$B$6:$B$214,0)))=4,INDEX($I$6:$I$214,MATCH("140",$B$6:$B$214,0))+14*INDEX($J$6:$J$214,MATCH("140",$B$6:$B$214,0))+15*INDEX($J$6:$J$214,MATCH("141",$B$6:$B$214,0))+70*INDEX($J$6:$J$214,MATCH("142",$B$6:$B$214,0)),"")</f>
        <v>456</v>
      </c>
      <c r="P142" s="9">
        <f>IF(COUNT(INDEX($K$6:$K$214,MATCH("140",$B$6:$B$214,0)),INDEX($L$6:$L$214,MATCH("140",$B$6:$B$214,0)),INDEX($L$6:$L$214,MATCH("141",$B$6:$B$214,0)),INDEX($L$6:$L$214,MATCH("142",$B$6:$B$214,0)))=4,INDEX($K$6:$K$214,MATCH("140",$B$6:$B$214,0))+14*INDEX($L$6:$L$214,MATCH("140",$B$6:$B$214,0))+15*INDEX($L$6:$L$214,MATCH("141",$B$6:$B$214,0))+70*INDEX($L$6:$L$214,MATCH("142",$B$6:$B$214,0)),"")</f>
        <v>2890</v>
      </c>
      <c r="Q142" s="9">
        <f>IF(COUNT(O142:P142)=2,O142*10+P142,"")</f>
        <v>7450</v>
      </c>
    </row>
    <row r="143" spans="2:17" ht="21.95" customHeight="1" x14ac:dyDescent="0.2">
      <c r="B143" s="4" t="s">
        <v>171</v>
      </c>
      <c r="C143" s="4" t="s">
        <v>172</v>
      </c>
      <c r="D143" s="4" t="s">
        <v>103</v>
      </c>
      <c r="E143" s="4" t="s">
        <v>27</v>
      </c>
      <c r="F143" s="4" t="s">
        <v>31</v>
      </c>
      <c r="G143" s="4" t="s">
        <v>35</v>
      </c>
      <c r="H143" s="4" t="s">
        <v>23</v>
      </c>
      <c r="I143" s="4" t="s">
        <v>31</v>
      </c>
      <c r="J143" s="4">
        <v>5</v>
      </c>
      <c r="K143" s="4" t="s">
        <v>31</v>
      </c>
      <c r="L143" s="4">
        <v>30</v>
      </c>
      <c r="M143" s="4" t="s">
        <v>31</v>
      </c>
      <c r="N143" s="4">
        <v>5</v>
      </c>
      <c r="O143" s="9">
        <f>IF(COUNT(INDEX($I$6:$I$214,MATCH("140",$B$6:$B$214,0)),INDEX($J$6:$J$214,MATCH("140",$B$6:$B$214,0)),INDEX($J$6:$J$214,MATCH("141",$B$6:$B$214,0)),INDEX($J$6:$J$214,MATCH("142",$B$6:$B$214,0)))=4,INDEX($I$6:$I$214,MATCH("140",$B$6:$B$214,0))+14*INDEX($J$6:$J$214,MATCH("140",$B$6:$B$214,0))+15*INDEX($J$6:$J$214,MATCH("141",$B$6:$B$214,0))+70*INDEX($J$6:$J$214,MATCH("142",$B$6:$B$214,0)),"")</f>
        <v>456</v>
      </c>
      <c r="P143" s="9">
        <f>IF(COUNT(INDEX($K$6:$K$214,MATCH("140",$B$6:$B$214,0)),INDEX($L$6:$L$214,MATCH("140",$B$6:$B$214,0)),INDEX($L$6:$L$214,MATCH("141",$B$6:$B$214,0)),INDEX($L$6:$L$214,MATCH("142",$B$6:$B$214,0)))=4,INDEX($K$6:$K$214,MATCH("140",$B$6:$B$214,0))+14*INDEX($L$6:$L$214,MATCH("140",$B$6:$B$214,0))+15*INDEX($L$6:$L$214,MATCH("141",$B$6:$B$214,0))+70*INDEX($L$6:$L$214,MATCH("142",$B$6:$B$214,0)),"")</f>
        <v>2890</v>
      </c>
      <c r="Q143" s="9">
        <f>IF(COUNT(O143:P143)=2,O143*10+P143,"")</f>
        <v>7450</v>
      </c>
    </row>
    <row r="144" spans="2:17" ht="21.95" customHeight="1" x14ac:dyDescent="0.2">
      <c r="B144" s="4" t="s">
        <v>261</v>
      </c>
      <c r="C144" s="4" t="s">
        <v>262</v>
      </c>
      <c r="D144" s="4" t="s">
        <v>103</v>
      </c>
      <c r="E144" s="4" t="s">
        <v>20</v>
      </c>
      <c r="F144" s="4" t="s">
        <v>21</v>
      </c>
      <c r="G144" s="4" t="s">
        <v>22</v>
      </c>
      <c r="H144" s="4" t="s">
        <v>40</v>
      </c>
      <c r="I144" s="4">
        <v>2</v>
      </c>
      <c r="J144" s="4">
        <v>1</v>
      </c>
      <c r="K144" s="4">
        <v>110</v>
      </c>
      <c r="L144" s="4">
        <v>40</v>
      </c>
      <c r="M144" s="4">
        <v>3</v>
      </c>
      <c r="N144" s="4">
        <v>1</v>
      </c>
      <c r="O144" s="9">
        <f>IF(COUNT(INDEX($I$6:$I$214,MATCH("143",$B$6:$B$214,0)),INDEX($J$6:$J$214,MATCH("143",$B$6:$B$214,0)),INDEX($J$6:$J$214,MATCH("144",$B$6:$B$214,0)))=3,INDEX($I$6:$I$214,MATCH("143",$B$6:$B$214,0))+14*INDEX($J$6:$J$214,MATCH("143",$B$6:$B$214,0))+15*INDEX($J$6:$J$214,MATCH("144",$B$6:$B$214,0))+70*INDEX($J$6:$J$214,MATCH("144",$B$6:$B$214,0)),"")</f>
        <v>186</v>
      </c>
      <c r="P144" s="9">
        <f>IF(COUNT(INDEX($K$6:$K$214,MATCH("143",$B$6:$B$214,0)),INDEX($L$6:$L$214,MATCH("143",$B$6:$B$214,0)),INDEX($L$6:$L$214,MATCH("144",$B$6:$B$214,0)))=3,INDEX($K$6:$K$214,MATCH("143",$B$6:$B$214,0))+14*INDEX($L$6:$L$214,MATCH("143",$B$6:$B$214,0))+15*INDEX($L$6:$L$214,MATCH("144",$B$6:$B$214,0))+70*INDEX($L$6:$L$214,MATCH("144",$B$6:$B$214,0)),"")</f>
        <v>4920</v>
      </c>
      <c r="Q144" s="9">
        <f>IF(COUNT(O144:P144)=2,O144*10+P144,"")</f>
        <v>6780</v>
      </c>
    </row>
    <row r="145" spans="2:17" ht="21.95" customHeight="1" x14ac:dyDescent="0.2">
      <c r="B145" s="4" t="s">
        <v>263</v>
      </c>
      <c r="C145" s="4" t="s">
        <v>264</v>
      </c>
      <c r="D145" s="4" t="s">
        <v>103</v>
      </c>
      <c r="E145" s="4" t="s">
        <v>20</v>
      </c>
      <c r="F145" s="4" t="s">
        <v>31</v>
      </c>
      <c r="G145" s="4" t="s">
        <v>32</v>
      </c>
      <c r="H145" s="4" t="s">
        <v>40</v>
      </c>
      <c r="I145" s="4" t="s">
        <v>31</v>
      </c>
      <c r="J145" s="4">
        <v>2</v>
      </c>
      <c r="K145" s="4" t="s">
        <v>31</v>
      </c>
      <c r="L145" s="4">
        <v>50</v>
      </c>
      <c r="M145" s="4" t="s">
        <v>31</v>
      </c>
      <c r="N145" s="4">
        <v>2</v>
      </c>
      <c r="O145" s="9">
        <f>IF(COUNT(INDEX($I$6:$I$214,MATCH("143",$B$6:$B$214,0)),INDEX($J$6:$J$214,MATCH("143",$B$6:$B$214,0)),INDEX($J$6:$J$214,MATCH("144",$B$6:$B$214,0)))=3,INDEX($I$6:$I$214,MATCH("143",$B$6:$B$214,0))+14*INDEX($J$6:$J$214,MATCH("143",$B$6:$B$214,0))+15*INDEX($J$6:$J$214,MATCH("144",$B$6:$B$214,0))+70*INDEX($J$6:$J$214,MATCH("144",$B$6:$B$214,0)),"")</f>
        <v>186</v>
      </c>
      <c r="P145" s="9">
        <f>IF(COUNT(INDEX($K$6:$K$214,MATCH("143",$B$6:$B$214,0)),INDEX($L$6:$L$214,MATCH("143",$B$6:$B$214,0)),INDEX($L$6:$L$214,MATCH("144",$B$6:$B$214,0)))=3,INDEX($K$6:$K$214,MATCH("143",$B$6:$B$214,0))+14*INDEX($L$6:$L$214,MATCH("143",$B$6:$B$214,0))+15*INDEX($L$6:$L$214,MATCH("144",$B$6:$B$214,0))+70*INDEX($L$6:$L$214,MATCH("144",$B$6:$B$214,0)),"")</f>
        <v>4920</v>
      </c>
      <c r="Q145" s="9">
        <f>IF(COUNT(O145:P145)=2,O145*10+P145,"")</f>
        <v>6780</v>
      </c>
    </row>
    <row r="146" spans="2:17" ht="21.95" customHeight="1" x14ac:dyDescent="0.2">
      <c r="B146" s="4" t="s">
        <v>333</v>
      </c>
      <c r="C146" s="4" t="s">
        <v>334</v>
      </c>
      <c r="D146" s="4" t="s">
        <v>103</v>
      </c>
      <c r="E146" s="4" t="s">
        <v>27</v>
      </c>
      <c r="F146" s="4" t="s">
        <v>28</v>
      </c>
      <c r="G146" s="4" t="s">
        <v>22</v>
      </c>
      <c r="H146" s="4" t="s">
        <v>40</v>
      </c>
      <c r="I146" s="4">
        <v>6</v>
      </c>
      <c r="J146" s="4">
        <v>5</v>
      </c>
      <c r="K146" s="4">
        <v>110</v>
      </c>
      <c r="L146" s="4">
        <v>20</v>
      </c>
      <c r="M146" s="4">
        <v>9</v>
      </c>
      <c r="N146" s="4">
        <v>4</v>
      </c>
      <c r="O146" s="9">
        <f>IF(COUNT(INDEX($I$6:$I$214,MATCH("145",$B$6:$B$214,0)),INDEX($J$6:$J$214,MATCH("145",$B$6:$B$214,0)))=2,INDEX($I$6:$I$214,MATCH("145",$B$6:$B$214,0))+14*INDEX($J$6:$J$214,MATCH("145",$B$6:$B$214,0))+15*INDEX($J$6:$J$214,MATCH("145",$B$6:$B$214,0))+70*INDEX($J$6:$J$214,MATCH("145",$B$6:$B$214,0)),"")</f>
        <v>501</v>
      </c>
      <c r="P146" s="9">
        <f>IF(COUNT(INDEX($K$6:$K$214,MATCH("145",$B$6:$B$214,0)),INDEX($L$6:$L$214,MATCH("145",$B$6:$B$214,0)))=2,INDEX($K$6:$K$214,MATCH("145",$B$6:$B$214,0))+14*INDEX($L$6:$L$214,MATCH("145",$B$6:$B$214,0))+15*INDEX($L$6:$L$214,MATCH("145",$B$6:$B$214,0))+70*INDEX($L$6:$L$214,MATCH("145",$B$6:$B$214,0)),"")</f>
        <v>2090</v>
      </c>
      <c r="Q146" s="9">
        <f>IF(COUNT(O146:P146)=2,O146*10+P146,"")</f>
        <v>7100</v>
      </c>
    </row>
    <row r="147" spans="2:17" ht="21.95" customHeight="1" x14ac:dyDescent="0.2">
      <c r="B147" s="4" t="s">
        <v>213</v>
      </c>
      <c r="C147" s="4" t="s">
        <v>214</v>
      </c>
      <c r="D147" s="4" t="s">
        <v>19</v>
      </c>
      <c r="E147" s="4" t="s">
        <v>38</v>
      </c>
      <c r="F147" s="4" t="s">
        <v>39</v>
      </c>
      <c r="G147" s="4" t="s">
        <v>22</v>
      </c>
      <c r="H147" s="4" t="s">
        <v>40</v>
      </c>
      <c r="I147" s="4">
        <v>1</v>
      </c>
      <c r="J147" s="4">
        <v>1</v>
      </c>
      <c r="K147" s="4">
        <v>110</v>
      </c>
      <c r="L147" s="4">
        <v>20</v>
      </c>
      <c r="M147" s="4">
        <v>2</v>
      </c>
      <c r="N147" s="4">
        <v>1</v>
      </c>
      <c r="O147" s="9">
        <f>IF(COUNT(INDEX($I$6:$I$214,MATCH("150",$B$6:$B$214,0)),INDEX($J$6:$J$214,MATCH("150",$B$6:$B$214,0)),INDEX($J$6:$J$214,MATCH("151",$B$6:$B$214,0)),INDEX($J$6:$J$214,MATCH("152",$B$6:$B$214,0)))=4,INDEX($I$6:$I$214,MATCH("150",$B$6:$B$214,0))+14*INDEX($J$6:$J$214,MATCH("150",$B$6:$B$214,0))+15*INDEX($J$6:$J$214,MATCH("151",$B$6:$B$214,0))+70*INDEX($J$6:$J$214,MATCH("152",$B$6:$B$214,0)),"")</f>
        <v>255</v>
      </c>
      <c r="P147" s="9">
        <f>IF(COUNT(INDEX($K$6:$K$214,MATCH("150",$B$6:$B$214,0)),INDEX($L$6:$L$214,MATCH("150",$B$6:$B$214,0)),INDEX($L$6:$L$214,MATCH("151",$B$6:$B$214,0)),INDEX($L$6:$L$214,MATCH("152",$B$6:$B$214,0)))=4,INDEX($K$6:$K$214,MATCH("150",$B$6:$B$214,0))+14*INDEX($L$6:$L$214,MATCH("150",$B$6:$B$214,0))+15*INDEX($L$6:$L$214,MATCH("151",$B$6:$B$214,0))+70*INDEX($L$6:$L$214,MATCH("152",$B$6:$B$214,0)),"")</f>
        <v>2940</v>
      </c>
      <c r="Q147" s="9">
        <f>IF(COUNT(O147:P147)=2,O147*10+P147,"")</f>
        <v>5490</v>
      </c>
    </row>
    <row r="148" spans="2:17" ht="21.95" customHeight="1" x14ac:dyDescent="0.2">
      <c r="B148" s="4" t="s">
        <v>215</v>
      </c>
      <c r="C148" s="4" t="s">
        <v>216</v>
      </c>
      <c r="D148" s="4" t="s">
        <v>19</v>
      </c>
      <c r="E148" s="4" t="s">
        <v>38</v>
      </c>
      <c r="F148" s="4" t="s">
        <v>31</v>
      </c>
      <c r="G148" s="4" t="s">
        <v>32</v>
      </c>
      <c r="H148" s="4" t="s">
        <v>40</v>
      </c>
      <c r="I148" s="4" t="s">
        <v>31</v>
      </c>
      <c r="J148" s="4">
        <v>2</v>
      </c>
      <c r="K148" s="4" t="s">
        <v>31</v>
      </c>
      <c r="L148" s="4">
        <v>30</v>
      </c>
      <c r="M148" s="4" t="s">
        <v>31</v>
      </c>
      <c r="N148" s="4">
        <v>2</v>
      </c>
      <c r="O148" s="9">
        <f>IF(COUNT(INDEX($I$6:$I$214,MATCH("150",$B$6:$B$214,0)),INDEX($J$6:$J$214,MATCH("150",$B$6:$B$214,0)),INDEX($J$6:$J$214,MATCH("151",$B$6:$B$214,0)),INDEX($J$6:$J$214,MATCH("152",$B$6:$B$214,0)))=4,INDEX($I$6:$I$214,MATCH("150",$B$6:$B$214,0))+14*INDEX($J$6:$J$214,MATCH("150",$B$6:$B$214,0))+15*INDEX($J$6:$J$214,MATCH("151",$B$6:$B$214,0))+70*INDEX($J$6:$J$214,MATCH("152",$B$6:$B$214,0)),"")</f>
        <v>255</v>
      </c>
      <c r="P148" s="9">
        <f>IF(COUNT(INDEX($K$6:$K$214,MATCH("150",$B$6:$B$214,0)),INDEX($L$6:$L$214,MATCH("150",$B$6:$B$214,0)),INDEX($L$6:$L$214,MATCH("151",$B$6:$B$214,0)),INDEX($L$6:$L$214,MATCH("152",$B$6:$B$214,0)))=4,INDEX($K$6:$K$214,MATCH("150",$B$6:$B$214,0))+14*INDEX($L$6:$L$214,MATCH("150",$B$6:$B$214,0))+15*INDEX($L$6:$L$214,MATCH("151",$B$6:$B$214,0))+70*INDEX($L$6:$L$214,MATCH("152",$B$6:$B$214,0)),"")</f>
        <v>2940</v>
      </c>
      <c r="Q148" s="9">
        <f>IF(COUNT(O148:P148)=2,O148*10+P148,"")</f>
        <v>5490</v>
      </c>
    </row>
    <row r="149" spans="2:17" ht="21.95" customHeight="1" x14ac:dyDescent="0.2">
      <c r="B149" s="4" t="s">
        <v>217</v>
      </c>
      <c r="C149" s="4" t="s">
        <v>218</v>
      </c>
      <c r="D149" s="4" t="s">
        <v>19</v>
      </c>
      <c r="E149" s="4" t="s">
        <v>38</v>
      </c>
      <c r="F149" s="4" t="s">
        <v>31</v>
      </c>
      <c r="G149" s="4" t="s">
        <v>35</v>
      </c>
      <c r="H149" s="4" t="s">
        <v>40</v>
      </c>
      <c r="I149" s="4" t="s">
        <v>31</v>
      </c>
      <c r="J149" s="4">
        <v>3</v>
      </c>
      <c r="K149" s="4" t="s">
        <v>31</v>
      </c>
      <c r="L149" s="4">
        <v>30</v>
      </c>
      <c r="M149" s="4" t="s">
        <v>31</v>
      </c>
      <c r="N149" s="4">
        <v>3</v>
      </c>
      <c r="O149" s="9">
        <f>IF(COUNT(INDEX($I$6:$I$214,MATCH("150",$B$6:$B$214,0)),INDEX($J$6:$J$214,MATCH("150",$B$6:$B$214,0)),INDEX($J$6:$J$214,MATCH("151",$B$6:$B$214,0)),INDEX($J$6:$J$214,MATCH("152",$B$6:$B$214,0)))=4,INDEX($I$6:$I$214,MATCH("150",$B$6:$B$214,0))+14*INDEX($J$6:$J$214,MATCH("150",$B$6:$B$214,0))+15*INDEX($J$6:$J$214,MATCH("151",$B$6:$B$214,0))+70*INDEX($J$6:$J$214,MATCH("152",$B$6:$B$214,0)),"")</f>
        <v>255</v>
      </c>
      <c r="P149" s="9">
        <f>IF(COUNT(INDEX($K$6:$K$214,MATCH("150",$B$6:$B$214,0)),INDEX($L$6:$L$214,MATCH("150",$B$6:$B$214,0)),INDEX($L$6:$L$214,MATCH("151",$B$6:$B$214,0)),INDEX($L$6:$L$214,MATCH("152",$B$6:$B$214,0)))=4,INDEX($K$6:$K$214,MATCH("150",$B$6:$B$214,0))+14*INDEX($L$6:$L$214,MATCH("150",$B$6:$B$214,0))+15*INDEX($L$6:$L$214,MATCH("151",$B$6:$B$214,0))+70*INDEX($L$6:$L$214,MATCH("152",$B$6:$B$214,0)),"")</f>
        <v>2940</v>
      </c>
      <c r="Q149" s="9">
        <f>IF(COUNT(O149:P149)=2,O149*10+P149,"")</f>
        <v>5490</v>
      </c>
    </row>
    <row r="150" spans="2:17" ht="21.95" customHeight="1" x14ac:dyDescent="0.2">
      <c r="B150" s="4" t="s">
        <v>36</v>
      </c>
      <c r="C150" s="4" t="s">
        <v>37</v>
      </c>
      <c r="D150" s="4" t="s">
        <v>19</v>
      </c>
      <c r="E150" s="4" t="s">
        <v>38</v>
      </c>
      <c r="F150" s="4" t="s">
        <v>39</v>
      </c>
      <c r="G150" s="4" t="s">
        <v>22</v>
      </c>
      <c r="H150" s="4" t="s">
        <v>40</v>
      </c>
      <c r="I150" s="4">
        <v>4</v>
      </c>
      <c r="J150" s="4">
        <v>2</v>
      </c>
      <c r="K150" s="4">
        <v>90</v>
      </c>
      <c r="L150" s="4">
        <v>20</v>
      </c>
      <c r="M150" s="4">
        <v>7</v>
      </c>
      <c r="N150" s="4">
        <v>4</v>
      </c>
      <c r="O150" s="9">
        <f>IF(COUNT(INDEX($I$6:$I$214,MATCH("153",$B$6:$B$214,0)),INDEX($J$6:$J$214,MATCH("153",$B$6:$B$214,0)),INDEX($J$6:$J$214,MATCH("154",$B$6:$B$214,0)))=3,INDEX($I$6:$I$214,MATCH("153",$B$6:$B$214,0))+14*INDEX($J$6:$J$214,MATCH("153",$B$6:$B$214,0))+15*INDEX($J$6:$J$214,MATCH("154",$B$6:$B$214,0))+70*INDEX($J$6:$J$214,MATCH("154",$B$6:$B$214,0)),"")</f>
        <v>287</v>
      </c>
      <c r="P150" s="9">
        <f>IF(COUNT(INDEX($K$6:$K$214,MATCH("153",$B$6:$B$214,0)),INDEX($L$6:$L$214,MATCH("153",$B$6:$B$214,0)),INDEX($L$6:$L$214,MATCH("154",$B$6:$B$214,0)))=3,INDEX($K$6:$K$214,MATCH("153",$B$6:$B$214,0))+14*INDEX($L$6:$L$214,MATCH("153",$B$6:$B$214,0))+15*INDEX($L$6:$L$214,MATCH("154",$B$6:$B$214,0))+70*INDEX($L$6:$L$214,MATCH("154",$B$6:$B$214,0)),"")</f>
        <v>2920</v>
      </c>
      <c r="Q150" s="9">
        <f>IF(COUNT(O150:P150)=2,O150*10+P150,"")</f>
        <v>5790</v>
      </c>
    </row>
    <row r="151" spans="2:17" ht="21.95" customHeight="1" x14ac:dyDescent="0.2">
      <c r="B151" s="4" t="s">
        <v>41</v>
      </c>
      <c r="C151" s="4" t="s">
        <v>42</v>
      </c>
      <c r="D151" s="4" t="s">
        <v>19</v>
      </c>
      <c r="E151" s="4" t="s">
        <v>38</v>
      </c>
      <c r="F151" s="4" t="s">
        <v>31</v>
      </c>
      <c r="G151" s="4" t="s">
        <v>32</v>
      </c>
      <c r="H151" s="4" t="s">
        <v>40</v>
      </c>
      <c r="I151" s="4" t="s">
        <v>31</v>
      </c>
      <c r="J151" s="4">
        <v>3</v>
      </c>
      <c r="K151" s="4" t="s">
        <v>31</v>
      </c>
      <c r="L151" s="4">
        <v>30</v>
      </c>
      <c r="M151" s="4" t="s">
        <v>31</v>
      </c>
      <c r="N151" s="4">
        <v>5</v>
      </c>
      <c r="O151" s="9">
        <f>IF(COUNT(INDEX($I$6:$I$214,MATCH("153",$B$6:$B$214,0)),INDEX($J$6:$J$214,MATCH("153",$B$6:$B$214,0)),INDEX($J$6:$J$214,MATCH("154",$B$6:$B$214,0)))=3,INDEX($I$6:$I$214,MATCH("153",$B$6:$B$214,0))+14*INDEX($J$6:$J$214,MATCH("153",$B$6:$B$214,0))+15*INDEX($J$6:$J$214,MATCH("154",$B$6:$B$214,0))+70*INDEX($J$6:$J$214,MATCH("154",$B$6:$B$214,0)),"")</f>
        <v>287</v>
      </c>
      <c r="P151" s="9">
        <f>IF(COUNT(INDEX($K$6:$K$214,MATCH("153",$B$6:$B$214,0)),INDEX($L$6:$L$214,MATCH("153",$B$6:$B$214,0)),INDEX($L$6:$L$214,MATCH("154",$B$6:$B$214,0)))=3,INDEX($K$6:$K$214,MATCH("153",$B$6:$B$214,0))+14*INDEX($L$6:$L$214,MATCH("153",$B$6:$B$214,0))+15*INDEX($L$6:$L$214,MATCH("154",$B$6:$B$214,0))+70*INDEX($L$6:$L$214,MATCH("154",$B$6:$B$214,0)),"")</f>
        <v>2920</v>
      </c>
      <c r="Q151" s="9">
        <f>IF(COUNT(O151:P151)=2,O151*10+P151,"")</f>
        <v>5790</v>
      </c>
    </row>
    <row r="152" spans="2:17" ht="21.95" customHeight="1" x14ac:dyDescent="0.2">
      <c r="B152" s="4" t="s">
        <v>391</v>
      </c>
      <c r="C152" s="4" t="s">
        <v>392</v>
      </c>
      <c r="D152" s="4" t="s">
        <v>19</v>
      </c>
      <c r="E152" s="4" t="s">
        <v>38</v>
      </c>
      <c r="F152" s="4" t="s">
        <v>39</v>
      </c>
      <c r="G152" s="4" t="s">
        <v>22</v>
      </c>
      <c r="H152" s="4" t="s">
        <v>40</v>
      </c>
      <c r="I152" s="4">
        <v>2</v>
      </c>
      <c r="J152" s="4">
        <v>1</v>
      </c>
      <c r="K152" s="4">
        <v>70</v>
      </c>
      <c r="L152" s="4">
        <v>20</v>
      </c>
      <c r="M152" s="4">
        <v>3</v>
      </c>
      <c r="N152" s="4">
        <v>1</v>
      </c>
      <c r="O152" s="9">
        <f>IF(COUNT(INDEX($I$6:$I$214,MATCH("155",$B$6:$B$214,0)),INDEX($J$6:$J$214,MATCH("155",$B$6:$B$214,0)),INDEX($J$6:$J$214,MATCH("156",$B$6:$B$214,0)))=3,INDEX($I$6:$I$214,MATCH("155",$B$6:$B$214,0))+14*INDEX($J$6:$J$214,MATCH("155",$B$6:$B$214,0))+15*INDEX($J$6:$J$214,MATCH("156",$B$6:$B$214,0))+70*INDEX($J$6:$J$214,MATCH("156",$B$6:$B$214,0)),"")</f>
        <v>271</v>
      </c>
      <c r="P152" s="9">
        <f>IF(COUNT(INDEX($K$6:$K$214,MATCH("155",$B$6:$B$214,0)),INDEX($L$6:$L$214,MATCH("155",$B$6:$B$214,0)),INDEX($L$6:$L$214,MATCH("156",$B$6:$B$214,0)))=3,INDEX($K$6:$K$214,MATCH("155",$B$6:$B$214,0))+14*INDEX($L$6:$L$214,MATCH("155",$B$6:$B$214,0))+15*INDEX($L$6:$L$214,MATCH("156",$B$6:$B$214,0))+70*INDEX($L$6:$L$214,MATCH("156",$B$6:$B$214,0)),"")</f>
        <v>2900</v>
      </c>
      <c r="Q152" s="9">
        <f>IF(COUNT(O152:P152)=2,O152*10+P152,"")</f>
        <v>5610</v>
      </c>
    </row>
    <row r="153" spans="2:17" ht="21.95" customHeight="1" x14ac:dyDescent="0.2">
      <c r="B153" s="4" t="s">
        <v>393</v>
      </c>
      <c r="C153" s="4" t="s">
        <v>394</v>
      </c>
      <c r="D153" s="4" t="s">
        <v>19</v>
      </c>
      <c r="E153" s="4" t="s">
        <v>38</v>
      </c>
      <c r="F153" s="4" t="s">
        <v>31</v>
      </c>
      <c r="G153" s="4" t="s">
        <v>32</v>
      </c>
      <c r="H153" s="4" t="s">
        <v>40</v>
      </c>
      <c r="I153" s="4" t="s">
        <v>31</v>
      </c>
      <c r="J153" s="4">
        <v>3</v>
      </c>
      <c r="K153" s="4" t="s">
        <v>31</v>
      </c>
      <c r="L153" s="4">
        <v>30</v>
      </c>
      <c r="M153" s="4" t="s">
        <v>31</v>
      </c>
      <c r="N153" s="4">
        <v>2</v>
      </c>
      <c r="O153" s="9">
        <f>IF(COUNT(INDEX($I$6:$I$214,MATCH("155",$B$6:$B$214,0)),INDEX($J$6:$J$214,MATCH("155",$B$6:$B$214,0)),INDEX($J$6:$J$214,MATCH("156",$B$6:$B$214,0)))=3,INDEX($I$6:$I$214,MATCH("155",$B$6:$B$214,0))+14*INDEX($J$6:$J$214,MATCH("155",$B$6:$B$214,0))+15*INDEX($J$6:$J$214,MATCH("156",$B$6:$B$214,0))+70*INDEX($J$6:$J$214,MATCH("156",$B$6:$B$214,0)),"")</f>
        <v>271</v>
      </c>
      <c r="P153" s="9">
        <f>IF(COUNT(INDEX($K$6:$K$214,MATCH("155",$B$6:$B$214,0)),INDEX($L$6:$L$214,MATCH("155",$B$6:$B$214,0)),INDEX($L$6:$L$214,MATCH("156",$B$6:$B$214,0)))=3,INDEX($K$6:$K$214,MATCH("155",$B$6:$B$214,0))+14*INDEX($L$6:$L$214,MATCH("155",$B$6:$B$214,0))+15*INDEX($L$6:$L$214,MATCH("156",$B$6:$B$214,0))+70*INDEX($L$6:$L$214,MATCH("156",$B$6:$B$214,0)),"")</f>
        <v>2900</v>
      </c>
      <c r="Q153" s="9">
        <f>IF(COUNT(O153:P153)=2,O153*10+P153,"")</f>
        <v>5610</v>
      </c>
    </row>
    <row r="154" spans="2:17" ht="21.95" customHeight="1" x14ac:dyDescent="0.2">
      <c r="B154" s="4" t="s">
        <v>409</v>
      </c>
      <c r="C154" s="4" t="s">
        <v>410</v>
      </c>
      <c r="D154" s="4" t="s">
        <v>19</v>
      </c>
      <c r="E154" s="4" t="s">
        <v>38</v>
      </c>
      <c r="F154" s="4" t="s">
        <v>39</v>
      </c>
      <c r="G154" s="4" t="s">
        <v>22</v>
      </c>
      <c r="H154" s="4" t="s">
        <v>40</v>
      </c>
      <c r="I154" s="4">
        <v>4</v>
      </c>
      <c r="J154" s="4">
        <v>3</v>
      </c>
      <c r="K154" s="4">
        <v>70</v>
      </c>
      <c r="L154" s="4">
        <v>20</v>
      </c>
      <c r="M154" s="4">
        <v>3</v>
      </c>
      <c r="N154" s="4">
        <v>2</v>
      </c>
      <c r="O154" s="9">
        <f>IF(COUNT(INDEX($I$6:$I$214,MATCH("157",$B$6:$B$214,0)),INDEX($J$6:$J$214,MATCH("157",$B$6:$B$214,0)))=2,INDEX($I$6:$I$214,MATCH("157",$B$6:$B$214,0))+14*INDEX($J$6:$J$214,MATCH("157",$B$6:$B$214,0))+15*INDEX($J$6:$J$214,MATCH("157",$B$6:$B$214,0))+70*INDEX($J$6:$J$214,MATCH("157",$B$6:$B$214,0)),"")</f>
        <v>301</v>
      </c>
      <c r="P154" s="9">
        <f>IF(COUNT(INDEX($K$6:$K$214,MATCH("157",$B$6:$B$214,0)),INDEX($L$6:$L$214,MATCH("157",$B$6:$B$214,0)))=2,INDEX($K$6:$K$214,MATCH("157",$B$6:$B$214,0))+14*INDEX($L$6:$L$214,MATCH("157",$B$6:$B$214,0))+15*INDEX($L$6:$L$214,MATCH("157",$B$6:$B$214,0))+70*INDEX($L$6:$L$214,MATCH("157",$B$6:$B$214,0)),"")</f>
        <v>2050</v>
      </c>
      <c r="Q154" s="9">
        <f>IF(COUNT(O154:P154)=2,O154*10+P154,"")</f>
        <v>5060</v>
      </c>
    </row>
    <row r="155" spans="2:17" ht="21.95" customHeight="1" x14ac:dyDescent="0.2">
      <c r="B155" s="4" t="s">
        <v>399</v>
      </c>
      <c r="C155" s="4" t="s">
        <v>400</v>
      </c>
      <c r="D155" s="4" t="s">
        <v>19</v>
      </c>
      <c r="E155" s="4" t="s">
        <v>38</v>
      </c>
      <c r="F155" s="4" t="s">
        <v>39</v>
      </c>
      <c r="G155" s="4" t="s">
        <v>22</v>
      </c>
      <c r="H155" s="4" t="s">
        <v>40</v>
      </c>
      <c r="I155" s="4">
        <v>5</v>
      </c>
      <c r="J155" s="4">
        <v>2</v>
      </c>
      <c r="K155" s="4">
        <v>100</v>
      </c>
      <c r="L155" s="4">
        <v>30</v>
      </c>
      <c r="M155" s="4">
        <v>3</v>
      </c>
      <c r="N155" s="4">
        <v>2</v>
      </c>
      <c r="O155" s="9">
        <f>IF(COUNT(INDEX($I$6:$I$214,MATCH("158",$B$6:$B$214,0)),INDEX($J$6:$J$214,MATCH("158",$B$6:$B$214,0)))=2,INDEX($I$6:$I$214,MATCH("158",$B$6:$B$214,0))+14*INDEX($J$6:$J$214,MATCH("158",$B$6:$B$214,0))+15*INDEX($J$6:$J$214,MATCH("158",$B$6:$B$214,0))+70*INDEX($J$6:$J$214,MATCH("158",$B$6:$B$214,0)),"")</f>
        <v>203</v>
      </c>
      <c r="P155" s="9">
        <f>IF(COUNT(INDEX($K$6:$K$214,MATCH("158",$B$6:$B$214,0)),INDEX($L$6:$L$214,MATCH("158",$B$6:$B$214,0)))=2,INDEX($K$6:$K$214,MATCH("158",$B$6:$B$214,0))+14*INDEX($L$6:$L$214,MATCH("158",$B$6:$B$214,0))+15*INDEX($L$6:$L$214,MATCH("158",$B$6:$B$214,0))+70*INDEX($L$6:$L$214,MATCH("158",$B$6:$B$214,0)),"")</f>
        <v>3070</v>
      </c>
      <c r="Q155" s="9">
        <f>IF(COUNT(O155:P155)=2,O155*10+P155,"")</f>
        <v>5100</v>
      </c>
    </row>
    <row r="156" spans="2:17" ht="21.95" customHeight="1" x14ac:dyDescent="0.2">
      <c r="B156" s="4" t="s">
        <v>247</v>
      </c>
      <c r="C156" s="4" t="s">
        <v>248</v>
      </c>
      <c r="D156" s="4" t="s">
        <v>19</v>
      </c>
      <c r="E156" s="4" t="s">
        <v>38</v>
      </c>
      <c r="F156" s="4" t="s">
        <v>39</v>
      </c>
      <c r="G156" s="4" t="s">
        <v>22</v>
      </c>
      <c r="H156" s="4" t="s">
        <v>23</v>
      </c>
      <c r="I156" s="4">
        <v>1</v>
      </c>
      <c r="J156" s="4">
        <v>3</v>
      </c>
      <c r="K156" s="4">
        <v>50</v>
      </c>
      <c r="L156" s="4">
        <v>20</v>
      </c>
      <c r="M156" s="4">
        <v>9</v>
      </c>
      <c r="N156" s="4">
        <v>2</v>
      </c>
      <c r="O156" s="9">
        <f>IF(COUNT(INDEX($I$6:$I$214,MATCH("159",$B$6:$B$214,0)),INDEX($J$6:$J$214,MATCH("159",$B$6:$B$214,0)))=2,INDEX($I$6:$I$214,MATCH("159",$B$6:$B$214,0))+14*INDEX($J$6:$J$214,MATCH("159",$B$6:$B$214,0))+15*INDEX($J$6:$J$214,MATCH("159",$B$6:$B$214,0))+70*INDEX($J$6:$J$214,MATCH("159",$B$6:$B$214,0)),"")</f>
        <v>298</v>
      </c>
      <c r="P156" s="9">
        <f>IF(COUNT(INDEX($K$6:$K$214,MATCH("159",$B$6:$B$214,0)),INDEX($L$6:$L$214,MATCH("159",$B$6:$B$214,0)))=2,INDEX($K$6:$K$214,MATCH("159",$B$6:$B$214,0))+14*INDEX($L$6:$L$214,MATCH("159",$B$6:$B$214,0))+15*INDEX($L$6:$L$214,MATCH("159",$B$6:$B$214,0))+70*INDEX($L$6:$L$214,MATCH("159",$B$6:$B$214,0)),"")</f>
        <v>2030</v>
      </c>
      <c r="Q156" s="9">
        <f>IF(COUNT(O156:P156)=2,O156*10+P156,"")</f>
        <v>5010</v>
      </c>
    </row>
    <row r="157" spans="2:17" ht="21.95" customHeight="1" x14ac:dyDescent="0.2">
      <c r="B157" s="4" t="s">
        <v>43</v>
      </c>
      <c r="C157" s="4" t="s">
        <v>44</v>
      </c>
      <c r="D157" s="4" t="s">
        <v>19</v>
      </c>
      <c r="E157" s="4" t="s">
        <v>20</v>
      </c>
      <c r="F157" s="4" t="s">
        <v>21</v>
      </c>
      <c r="G157" s="4" t="s">
        <v>22</v>
      </c>
      <c r="H157" s="4" t="s">
        <v>40</v>
      </c>
      <c r="I157" s="4">
        <v>4</v>
      </c>
      <c r="J157" s="4">
        <v>3</v>
      </c>
      <c r="K157" s="4">
        <v>70</v>
      </c>
      <c r="L157" s="4">
        <v>20</v>
      </c>
      <c r="M157" s="4">
        <v>7</v>
      </c>
      <c r="N157" s="4">
        <v>4</v>
      </c>
      <c r="O157" s="9">
        <f>IF(COUNT(INDEX($I$6:$I$214,MATCH("160",$B$6:$B$214,0)),INDEX($J$6:$J$214,MATCH("160",$B$6:$B$214,0)),INDEX($J$6:$J$214,MATCH("161",$B$6:$B$214,0)))=3,INDEX($I$6:$I$214,MATCH("160",$B$6:$B$214,0))+14*INDEX($J$6:$J$214,MATCH("160",$B$6:$B$214,0))+15*INDEX($J$6:$J$214,MATCH("161",$B$6:$B$214,0))+70*INDEX($J$6:$J$214,MATCH("161",$B$6:$B$214,0)),"")</f>
        <v>386</v>
      </c>
      <c r="P157" s="9">
        <f>IF(COUNT(INDEX($K$6:$K$214,MATCH("160",$B$6:$B$214,0)),INDEX($L$6:$L$214,MATCH("160",$B$6:$B$214,0)),INDEX($L$6:$L$214,MATCH("161",$B$6:$B$214,0)))=3,INDEX($K$6:$K$214,MATCH("160",$B$6:$B$214,0))+14*INDEX($L$6:$L$214,MATCH("160",$B$6:$B$214,0))+15*INDEX($L$6:$L$214,MATCH("161",$B$6:$B$214,0))+70*INDEX($L$6:$L$214,MATCH("161",$B$6:$B$214,0)),"")</f>
        <v>2900</v>
      </c>
      <c r="Q157" s="9">
        <f>IF(COUNT(O157:P157)=2,O157*10+P157,"")</f>
        <v>6760</v>
      </c>
    </row>
    <row r="158" spans="2:17" ht="21.95" customHeight="1" x14ac:dyDescent="0.2">
      <c r="B158" s="4" t="s">
        <v>45</v>
      </c>
      <c r="C158" s="4" t="s">
        <v>46</v>
      </c>
      <c r="D158" s="4" t="s">
        <v>19</v>
      </c>
      <c r="E158" s="4" t="s">
        <v>20</v>
      </c>
      <c r="F158" s="4" t="s">
        <v>31</v>
      </c>
      <c r="G158" s="4" t="s">
        <v>32</v>
      </c>
      <c r="H158" s="4" t="s">
        <v>40</v>
      </c>
      <c r="I158" s="4" t="s">
        <v>31</v>
      </c>
      <c r="J158" s="4">
        <v>4</v>
      </c>
      <c r="K158" s="4" t="s">
        <v>31</v>
      </c>
      <c r="L158" s="4">
        <v>30</v>
      </c>
      <c r="M158" s="4" t="s">
        <v>31</v>
      </c>
      <c r="N158" s="4">
        <v>5</v>
      </c>
      <c r="O158" s="9">
        <f>IF(COUNT(INDEX($I$6:$I$214,MATCH("160",$B$6:$B$214,0)),INDEX($J$6:$J$214,MATCH("160",$B$6:$B$214,0)),INDEX($J$6:$J$214,MATCH("161",$B$6:$B$214,0)))=3,INDEX($I$6:$I$214,MATCH("160",$B$6:$B$214,0))+14*INDEX($J$6:$J$214,MATCH("160",$B$6:$B$214,0))+15*INDEX($J$6:$J$214,MATCH("161",$B$6:$B$214,0))+70*INDEX($J$6:$J$214,MATCH("161",$B$6:$B$214,0)),"")</f>
        <v>386</v>
      </c>
      <c r="P158" s="9">
        <f>IF(COUNT(INDEX($K$6:$K$214,MATCH("160",$B$6:$B$214,0)),INDEX($L$6:$L$214,MATCH("160",$B$6:$B$214,0)),INDEX($L$6:$L$214,MATCH("161",$B$6:$B$214,0)))=3,INDEX($K$6:$K$214,MATCH("160",$B$6:$B$214,0))+14*INDEX($L$6:$L$214,MATCH("160",$B$6:$B$214,0))+15*INDEX($L$6:$L$214,MATCH("161",$B$6:$B$214,0))+70*INDEX($L$6:$L$214,MATCH("161",$B$6:$B$214,0)),"")</f>
        <v>2900</v>
      </c>
      <c r="Q158" s="9">
        <f>IF(COUNT(O158:P158)=2,O158*10+P158,"")</f>
        <v>6760</v>
      </c>
    </row>
    <row r="159" spans="2:17" ht="21.95" customHeight="1" x14ac:dyDescent="0.2">
      <c r="B159" s="4" t="s">
        <v>405</v>
      </c>
      <c r="C159" s="4" t="s">
        <v>406</v>
      </c>
      <c r="D159" s="4" t="s">
        <v>19</v>
      </c>
      <c r="E159" s="4" t="s">
        <v>20</v>
      </c>
      <c r="F159" s="4" t="s">
        <v>21</v>
      </c>
      <c r="G159" s="4" t="s">
        <v>22</v>
      </c>
      <c r="H159" s="4" t="s">
        <v>40</v>
      </c>
      <c r="I159" s="4">
        <v>4</v>
      </c>
      <c r="J159" s="4">
        <v>5</v>
      </c>
      <c r="K159" s="4">
        <v>90</v>
      </c>
      <c r="L159" s="4">
        <v>15</v>
      </c>
      <c r="M159" s="4">
        <v>10</v>
      </c>
      <c r="N159" s="4">
        <v>4</v>
      </c>
      <c r="O159" s="9">
        <f>IF(COUNT(INDEX($I$6:$I$214,MATCH("162",$B$6:$B$214,0)),INDEX($J$6:$J$214,MATCH("162",$B$6:$B$214,0)))=2,INDEX($I$6:$I$214,MATCH("162",$B$6:$B$214,0))+14*INDEX($J$6:$J$214,MATCH("162",$B$6:$B$214,0))+15*INDEX($J$6:$J$214,MATCH("162",$B$6:$B$214,0))+70*INDEX($J$6:$J$214,MATCH("162",$B$6:$B$214,0)),"")</f>
        <v>499</v>
      </c>
      <c r="P159" s="9">
        <f>IF(COUNT(INDEX($K$6:$K$214,MATCH("162",$B$6:$B$214,0)),INDEX($L$6:$L$214,MATCH("162",$B$6:$B$214,0)))=2,INDEX($K$6:$K$214,MATCH("162",$B$6:$B$214,0))+14*INDEX($L$6:$L$214,MATCH("162",$B$6:$B$214,0))+15*INDEX($L$6:$L$214,MATCH("162",$B$6:$B$214,0))+70*INDEX($L$6:$L$214,MATCH("162",$B$6:$B$214,0)),"")</f>
        <v>1575</v>
      </c>
      <c r="Q159" s="9">
        <f>IF(COUNT(O159:P159)=2,O159*10+P159,"")</f>
        <v>6565</v>
      </c>
    </row>
    <row r="160" spans="2:17" ht="21.95" customHeight="1" x14ac:dyDescent="0.2">
      <c r="B160" s="4" t="s">
        <v>243</v>
      </c>
      <c r="C160" s="4" t="s">
        <v>244</v>
      </c>
      <c r="D160" s="4" t="s">
        <v>19</v>
      </c>
      <c r="E160" s="4" t="s">
        <v>20</v>
      </c>
      <c r="F160" s="4" t="s">
        <v>21</v>
      </c>
      <c r="G160" s="4" t="s">
        <v>22</v>
      </c>
      <c r="H160" s="4" t="s">
        <v>40</v>
      </c>
      <c r="I160" s="4">
        <v>2</v>
      </c>
      <c r="J160" s="4">
        <v>2</v>
      </c>
      <c r="K160" s="4">
        <v>50</v>
      </c>
      <c r="L160" s="4">
        <v>40</v>
      </c>
      <c r="M160" s="4">
        <v>3</v>
      </c>
      <c r="N160" s="4">
        <v>1</v>
      </c>
      <c r="O160" s="9">
        <f>IF(COUNT(INDEX($I$6:$I$214,MATCH("163",$B$6:$B$214,0)),INDEX($J$6:$J$214,MATCH("163",$B$6:$B$214,0)))=2,INDEX($I$6:$I$214,MATCH("163",$B$6:$B$214,0))+14*INDEX($J$6:$J$214,MATCH("163",$B$6:$B$214,0))+15*INDEX($J$6:$J$214,MATCH("163",$B$6:$B$214,0))+70*INDEX($J$6:$J$214,MATCH("163",$B$6:$B$214,0)),"")</f>
        <v>200</v>
      </c>
      <c r="P160" s="9">
        <f>IF(COUNT(INDEX($K$6:$K$214,MATCH("163",$B$6:$B$214,0)),INDEX($L$6:$L$214,MATCH("163",$B$6:$B$214,0)))=2,INDEX($K$6:$K$214,MATCH("163",$B$6:$B$214,0))+14*INDEX($L$6:$L$214,MATCH("163",$B$6:$B$214,0))+15*INDEX($L$6:$L$214,MATCH("163",$B$6:$B$214,0))+70*INDEX($L$6:$L$214,MATCH("163",$B$6:$B$214,0)),"")</f>
        <v>4010</v>
      </c>
      <c r="Q160" s="9">
        <f>IF(COUNT(O160:P160)=2,O160*10+P160,"")</f>
        <v>6010</v>
      </c>
    </row>
    <row r="161" spans="2:17" ht="21.95" customHeight="1" x14ac:dyDescent="0.2">
      <c r="B161" s="4" t="s">
        <v>17</v>
      </c>
      <c r="C161" s="4" t="s">
        <v>18</v>
      </c>
      <c r="D161" s="4" t="s">
        <v>19</v>
      </c>
      <c r="E161" s="4" t="s">
        <v>20</v>
      </c>
      <c r="F161" s="4" t="s">
        <v>21</v>
      </c>
      <c r="G161" s="4" t="s">
        <v>22</v>
      </c>
      <c r="H161" s="4" t="s">
        <v>23</v>
      </c>
      <c r="I161" s="4">
        <v>4</v>
      </c>
      <c r="J161" s="4">
        <v>3</v>
      </c>
      <c r="K161" s="4">
        <v>90</v>
      </c>
      <c r="L161" s="4">
        <v>30</v>
      </c>
      <c r="M161" s="4">
        <v>4</v>
      </c>
      <c r="N161" s="4">
        <v>4</v>
      </c>
      <c r="O161" s="9">
        <f>IF(COUNT(INDEX($I$6:$I$214,MATCH("164",$B$6:$B$214,0)),INDEX($J$6:$J$214,MATCH("164",$B$6:$B$214,0)))=2,INDEX($I$6:$I$214,MATCH("164",$B$6:$B$214,0))+14*INDEX($J$6:$J$214,MATCH("164",$B$6:$B$214,0))+15*INDEX($J$6:$J$214,MATCH("164",$B$6:$B$214,0))+70*INDEX($J$6:$J$214,MATCH("164",$B$6:$B$214,0)),"")</f>
        <v>301</v>
      </c>
      <c r="P161" s="9">
        <f>IF(COUNT(INDEX($K$6:$K$214,MATCH("164",$B$6:$B$214,0)),INDEX($L$6:$L$214,MATCH("164",$B$6:$B$214,0)))=2,INDEX($K$6:$K$214,MATCH("164",$B$6:$B$214,0))+14*INDEX($L$6:$L$214,MATCH("164",$B$6:$B$214,0))+15*INDEX($L$6:$L$214,MATCH("164",$B$6:$B$214,0))+70*INDEX($L$6:$L$214,MATCH("164",$B$6:$B$214,0)),"")</f>
        <v>3060</v>
      </c>
      <c r="Q161" s="9">
        <f>IF(COUNT(O161:P161)=2,O161*10+P161,"")</f>
        <v>6070</v>
      </c>
    </row>
    <row r="162" spans="2:17" ht="21.95" customHeight="1" x14ac:dyDescent="0.2">
      <c r="B162" s="4" t="s">
        <v>237</v>
      </c>
      <c r="C162" s="4" t="s">
        <v>238</v>
      </c>
      <c r="D162" s="4" t="s">
        <v>19</v>
      </c>
      <c r="E162" s="4" t="s">
        <v>20</v>
      </c>
      <c r="F162" s="4" t="s">
        <v>21</v>
      </c>
      <c r="G162" s="4" t="s">
        <v>22</v>
      </c>
      <c r="H162" s="4" t="s">
        <v>40</v>
      </c>
      <c r="I162" s="4">
        <v>2</v>
      </c>
      <c r="J162" s="4">
        <v>3</v>
      </c>
      <c r="K162" s="4">
        <v>40</v>
      </c>
      <c r="L162" s="4">
        <v>40</v>
      </c>
      <c r="M162" s="4">
        <v>3</v>
      </c>
      <c r="N162" s="4">
        <v>1</v>
      </c>
      <c r="O162" s="9">
        <f>IF(COUNT(INDEX($I$6:$I$214,MATCH("165",$B$6:$B$214,0)),INDEX($J$6:$J$214,MATCH("165",$B$6:$B$214,0)))=2,INDEX($I$6:$I$214,MATCH("165",$B$6:$B$214,0))+14*INDEX($J$6:$J$214,MATCH("165",$B$6:$B$214,0))+15*INDEX($J$6:$J$214,MATCH("165",$B$6:$B$214,0))+70*INDEX($J$6:$J$214,MATCH("165",$B$6:$B$214,0)),"")</f>
        <v>299</v>
      </c>
      <c r="P162" s="9">
        <f>IF(COUNT(INDEX($K$6:$K$214,MATCH("165",$B$6:$B$214,0)),INDEX($L$6:$L$214,MATCH("165",$B$6:$B$214,0)))=2,INDEX($K$6:$K$214,MATCH("165",$B$6:$B$214,0))+14*INDEX($L$6:$L$214,MATCH("165",$B$6:$B$214,0))+15*INDEX($L$6:$L$214,MATCH("165",$B$6:$B$214,0))+70*INDEX($L$6:$L$214,MATCH("165",$B$6:$B$214,0)),"")</f>
        <v>4000</v>
      </c>
      <c r="Q162" s="9">
        <f>IF(COUNT(O162:P162)=2,O162*10+P162,"")</f>
        <v>6990</v>
      </c>
    </row>
    <row r="163" spans="2:17" ht="21.95" customHeight="1" x14ac:dyDescent="0.2">
      <c r="B163" s="4" t="s">
        <v>173</v>
      </c>
      <c r="C163" s="4" t="s">
        <v>174</v>
      </c>
      <c r="D163" s="4" t="s">
        <v>19</v>
      </c>
      <c r="E163" s="4" t="s">
        <v>27</v>
      </c>
      <c r="F163" s="4" t="s">
        <v>28</v>
      </c>
      <c r="G163" s="4" t="s">
        <v>22</v>
      </c>
      <c r="H163" s="4" t="s">
        <v>23</v>
      </c>
      <c r="I163" s="4">
        <v>4</v>
      </c>
      <c r="J163" s="4">
        <v>3</v>
      </c>
      <c r="K163" s="4">
        <v>50</v>
      </c>
      <c r="L163" s="4">
        <v>10</v>
      </c>
      <c r="M163" s="4">
        <v>7</v>
      </c>
      <c r="N163" s="4">
        <v>3</v>
      </c>
      <c r="O163" s="9">
        <f>IF(COUNT(INDEX($I$6:$I$214,MATCH("166",$B$6:$B$214,0)),INDEX($J$6:$J$214,MATCH("166",$B$6:$B$214,0)),INDEX($J$6:$J$214,MATCH("167",$B$6:$B$214,0)),INDEX($J$6:$J$214,MATCH("168",$B$6:$B$214,0)))=4,INDEX($I$6:$I$214,MATCH("166",$B$6:$B$214,0))+14*INDEX($J$6:$J$214,MATCH("166",$B$6:$B$214,0))+15*INDEX($J$6:$J$214,MATCH("167",$B$6:$B$214,0))+70*INDEX($J$6:$J$214,MATCH("168",$B$6:$B$214,0)),"")</f>
        <v>526</v>
      </c>
      <c r="P163" s="9">
        <f>IF(COUNT(INDEX($K$6:$K$214,MATCH("166",$B$6:$B$214,0)),INDEX($L$6:$L$214,MATCH("166",$B$6:$B$214,0)),INDEX($L$6:$L$214,MATCH("167",$B$6:$B$214,0)),INDEX($L$6:$L$214,MATCH("168",$B$6:$B$214,0)))=4,INDEX($K$6:$K$214,MATCH("166",$B$6:$B$214,0))+14*INDEX($L$6:$L$214,MATCH("166",$B$6:$B$214,0))+15*INDEX($L$6:$L$214,MATCH("167",$B$6:$B$214,0))+70*INDEX($L$6:$L$214,MATCH("168",$B$6:$B$214,0)),"")</f>
        <v>2590</v>
      </c>
      <c r="Q163" s="9">
        <f>IF(COUNT(O163:P163)=2,O163*10+P163,"")</f>
        <v>7850</v>
      </c>
    </row>
    <row r="164" spans="2:17" ht="21.95" customHeight="1" x14ac:dyDescent="0.2">
      <c r="B164" s="4" t="s">
        <v>175</v>
      </c>
      <c r="C164" s="4" t="s">
        <v>176</v>
      </c>
      <c r="D164" s="4" t="s">
        <v>19</v>
      </c>
      <c r="E164" s="4" t="s">
        <v>27</v>
      </c>
      <c r="F164" s="4" t="s">
        <v>31</v>
      </c>
      <c r="G164" s="4" t="s">
        <v>32</v>
      </c>
      <c r="H164" s="4" t="s">
        <v>23</v>
      </c>
      <c r="I164" s="4" t="s">
        <v>31</v>
      </c>
      <c r="J164" s="4">
        <v>4</v>
      </c>
      <c r="K164" s="4" t="s">
        <v>31</v>
      </c>
      <c r="L164" s="4">
        <v>20</v>
      </c>
      <c r="M164" s="4" t="s">
        <v>31</v>
      </c>
      <c r="N164" s="4">
        <v>4</v>
      </c>
      <c r="O164" s="9">
        <f>IF(COUNT(INDEX($I$6:$I$214,MATCH("166",$B$6:$B$214,0)),INDEX($J$6:$J$214,MATCH("166",$B$6:$B$214,0)),INDEX($J$6:$J$214,MATCH("167",$B$6:$B$214,0)),INDEX($J$6:$J$214,MATCH("168",$B$6:$B$214,0)))=4,INDEX($I$6:$I$214,MATCH("166",$B$6:$B$214,0))+14*INDEX($J$6:$J$214,MATCH("166",$B$6:$B$214,0))+15*INDEX($J$6:$J$214,MATCH("167",$B$6:$B$214,0))+70*INDEX($J$6:$J$214,MATCH("168",$B$6:$B$214,0)),"")</f>
        <v>526</v>
      </c>
      <c r="P164" s="9">
        <f>IF(COUNT(INDEX($K$6:$K$214,MATCH("166",$B$6:$B$214,0)),INDEX($L$6:$L$214,MATCH("166",$B$6:$B$214,0)),INDEX($L$6:$L$214,MATCH("167",$B$6:$B$214,0)),INDEX($L$6:$L$214,MATCH("168",$B$6:$B$214,0)))=4,INDEX($K$6:$K$214,MATCH("166",$B$6:$B$214,0))+14*INDEX($L$6:$L$214,MATCH("166",$B$6:$B$214,0))+15*INDEX($L$6:$L$214,MATCH("167",$B$6:$B$214,0))+70*INDEX($L$6:$L$214,MATCH("168",$B$6:$B$214,0)),"")</f>
        <v>2590</v>
      </c>
      <c r="Q164" s="9">
        <f>IF(COUNT(O164:P164)=2,O164*10+P164,"")</f>
        <v>7850</v>
      </c>
    </row>
    <row r="165" spans="2:17" ht="21.95" customHeight="1" x14ac:dyDescent="0.2">
      <c r="B165" s="4" t="s">
        <v>177</v>
      </c>
      <c r="C165" s="4" t="s">
        <v>178</v>
      </c>
      <c r="D165" s="4" t="s">
        <v>19</v>
      </c>
      <c r="E165" s="4" t="s">
        <v>27</v>
      </c>
      <c r="F165" s="4" t="s">
        <v>31</v>
      </c>
      <c r="G165" s="4" t="s">
        <v>35</v>
      </c>
      <c r="H165" s="4" t="s">
        <v>23</v>
      </c>
      <c r="I165" s="4" t="s">
        <v>31</v>
      </c>
      <c r="J165" s="4">
        <v>6</v>
      </c>
      <c r="K165" s="4" t="s">
        <v>31</v>
      </c>
      <c r="L165" s="4">
        <v>30</v>
      </c>
      <c r="M165" s="4" t="s">
        <v>31</v>
      </c>
      <c r="N165" s="4">
        <v>5</v>
      </c>
      <c r="O165" s="9">
        <f>IF(COUNT(INDEX($I$6:$I$214,MATCH("166",$B$6:$B$214,0)),INDEX($J$6:$J$214,MATCH("166",$B$6:$B$214,0)),INDEX($J$6:$J$214,MATCH("167",$B$6:$B$214,0)),INDEX($J$6:$J$214,MATCH("168",$B$6:$B$214,0)))=4,INDEX($I$6:$I$214,MATCH("166",$B$6:$B$214,0))+14*INDEX($J$6:$J$214,MATCH("166",$B$6:$B$214,0))+15*INDEX($J$6:$J$214,MATCH("167",$B$6:$B$214,0))+70*INDEX($J$6:$J$214,MATCH("168",$B$6:$B$214,0)),"")</f>
        <v>526</v>
      </c>
      <c r="P165" s="9">
        <f>IF(COUNT(INDEX($K$6:$K$214,MATCH("166",$B$6:$B$214,0)),INDEX($L$6:$L$214,MATCH("166",$B$6:$B$214,0)),INDEX($L$6:$L$214,MATCH("167",$B$6:$B$214,0)),INDEX($L$6:$L$214,MATCH("168",$B$6:$B$214,0)))=4,INDEX($K$6:$K$214,MATCH("166",$B$6:$B$214,0))+14*INDEX($L$6:$L$214,MATCH("166",$B$6:$B$214,0))+15*INDEX($L$6:$L$214,MATCH("167",$B$6:$B$214,0))+70*INDEX($L$6:$L$214,MATCH("168",$B$6:$B$214,0)),"")</f>
        <v>2590</v>
      </c>
      <c r="Q165" s="9">
        <f>IF(COUNT(O165:P165)=2,O165*10+P165,"")</f>
        <v>7850</v>
      </c>
    </row>
    <row r="166" spans="2:17" ht="21.95" customHeight="1" x14ac:dyDescent="0.2">
      <c r="B166" s="4" t="s">
        <v>130</v>
      </c>
      <c r="C166" s="4" t="s">
        <v>131</v>
      </c>
      <c r="D166" s="4" t="s">
        <v>19</v>
      </c>
      <c r="E166" s="4" t="s">
        <v>27</v>
      </c>
      <c r="F166" s="4" t="s">
        <v>28</v>
      </c>
      <c r="G166" s="4" t="s">
        <v>22</v>
      </c>
      <c r="H166" s="4" t="s">
        <v>23</v>
      </c>
      <c r="I166" s="4">
        <v>4</v>
      </c>
      <c r="J166" s="4">
        <v>1</v>
      </c>
      <c r="K166" s="4">
        <v>100</v>
      </c>
      <c r="L166" s="4">
        <v>20</v>
      </c>
      <c r="M166" s="4">
        <v>7</v>
      </c>
      <c r="N166" s="4">
        <v>3</v>
      </c>
      <c r="O166" s="9">
        <f>IF(COUNT(INDEX($I$6:$I$214,MATCH("169",$B$6:$B$214,0)),INDEX($J$6:$J$214,MATCH("169",$B$6:$B$214,0)),INDEX($J$6:$J$214,MATCH("170",$B$6:$B$214,0)),INDEX($J$6:$J$214,MATCH("171",$B$6:$B$214,0)))=4,INDEX($I$6:$I$214,MATCH("169",$B$6:$B$214,0))+14*INDEX($J$6:$J$214,MATCH("169",$B$6:$B$214,0))+15*INDEX($J$6:$J$214,MATCH("170",$B$6:$B$214,0))+70*INDEX($J$6:$J$214,MATCH("171",$B$6:$B$214,0)),"")</f>
        <v>398</v>
      </c>
      <c r="P166" s="9">
        <f>IF(COUNT(INDEX($K$6:$K$214,MATCH("169",$B$6:$B$214,0)),INDEX($L$6:$L$214,MATCH("169",$B$6:$B$214,0)),INDEX($L$6:$L$214,MATCH("170",$B$6:$B$214,0)),INDEX($L$6:$L$214,MATCH("171",$B$6:$B$214,0)))=4,INDEX($K$6:$K$214,MATCH("169",$B$6:$B$214,0))+14*INDEX($L$6:$L$214,MATCH("169",$B$6:$B$214,0))+15*INDEX($L$6:$L$214,MATCH("170",$B$6:$B$214,0))+70*INDEX($L$6:$L$214,MATCH("171",$B$6:$B$214,0)),"")</f>
        <v>3630</v>
      </c>
      <c r="Q166" s="9">
        <f>IF(COUNT(O166:P166)=2,O166*10+P166,"")</f>
        <v>7610</v>
      </c>
    </row>
    <row r="167" spans="2:17" ht="21.95" customHeight="1" x14ac:dyDescent="0.2">
      <c r="B167" s="4" t="s">
        <v>132</v>
      </c>
      <c r="C167" s="4" t="s">
        <v>133</v>
      </c>
      <c r="D167" s="4" t="s">
        <v>19</v>
      </c>
      <c r="E167" s="4" t="s">
        <v>27</v>
      </c>
      <c r="F167" s="4" t="s">
        <v>31</v>
      </c>
      <c r="G167" s="4" t="s">
        <v>32</v>
      </c>
      <c r="H167" s="4" t="s">
        <v>23</v>
      </c>
      <c r="I167" s="4" t="s">
        <v>31</v>
      </c>
      <c r="J167" s="4">
        <v>2</v>
      </c>
      <c r="K167" s="4" t="s">
        <v>31</v>
      </c>
      <c r="L167" s="4">
        <v>30</v>
      </c>
      <c r="M167" s="4" t="s">
        <v>31</v>
      </c>
      <c r="N167" s="4">
        <v>4</v>
      </c>
      <c r="O167" s="9">
        <f>IF(COUNT(INDEX($I$6:$I$214,MATCH("169",$B$6:$B$214,0)),INDEX($J$6:$J$214,MATCH("169",$B$6:$B$214,0)),INDEX($J$6:$J$214,MATCH("170",$B$6:$B$214,0)),INDEX($J$6:$J$214,MATCH("171",$B$6:$B$214,0)))=4,INDEX($I$6:$I$214,MATCH("169",$B$6:$B$214,0))+14*INDEX($J$6:$J$214,MATCH("169",$B$6:$B$214,0))+15*INDEX($J$6:$J$214,MATCH("170",$B$6:$B$214,0))+70*INDEX($J$6:$J$214,MATCH("171",$B$6:$B$214,0)),"")</f>
        <v>398</v>
      </c>
      <c r="P167" s="9">
        <f>IF(COUNT(INDEX($K$6:$K$214,MATCH("169",$B$6:$B$214,0)),INDEX($L$6:$L$214,MATCH("169",$B$6:$B$214,0)),INDEX($L$6:$L$214,MATCH("170",$B$6:$B$214,0)),INDEX($L$6:$L$214,MATCH("171",$B$6:$B$214,0)))=4,INDEX($K$6:$K$214,MATCH("169",$B$6:$B$214,0))+14*INDEX($L$6:$L$214,MATCH("169",$B$6:$B$214,0))+15*INDEX($L$6:$L$214,MATCH("170",$B$6:$B$214,0))+70*INDEX($L$6:$L$214,MATCH("171",$B$6:$B$214,0)),"")</f>
        <v>3630</v>
      </c>
      <c r="Q167" s="9">
        <f>IF(COUNT(O167:P167)=2,O167*10+P167,"")</f>
        <v>7610</v>
      </c>
    </row>
    <row r="168" spans="2:17" ht="21.95" customHeight="1" x14ac:dyDescent="0.2">
      <c r="B168" s="4" t="s">
        <v>134</v>
      </c>
      <c r="C168" s="4" t="s">
        <v>135</v>
      </c>
      <c r="D168" s="4" t="s">
        <v>19</v>
      </c>
      <c r="E168" s="4" t="s">
        <v>27</v>
      </c>
      <c r="F168" s="4" t="s">
        <v>31</v>
      </c>
      <c r="G168" s="4" t="s">
        <v>35</v>
      </c>
      <c r="H168" s="4" t="s">
        <v>23</v>
      </c>
      <c r="I168" s="4" t="s">
        <v>31</v>
      </c>
      <c r="J168" s="4">
        <v>5</v>
      </c>
      <c r="K168" s="4" t="s">
        <v>31</v>
      </c>
      <c r="L168" s="4">
        <v>40</v>
      </c>
      <c r="M168" s="4" t="s">
        <v>31</v>
      </c>
      <c r="N168" s="4">
        <v>5</v>
      </c>
      <c r="O168" s="9">
        <f>IF(COUNT(INDEX($I$6:$I$214,MATCH("169",$B$6:$B$214,0)),INDEX($J$6:$J$214,MATCH("169",$B$6:$B$214,0)),INDEX($J$6:$J$214,MATCH("170",$B$6:$B$214,0)),INDEX($J$6:$J$214,MATCH("171",$B$6:$B$214,0)))=4,INDEX($I$6:$I$214,MATCH("169",$B$6:$B$214,0))+14*INDEX($J$6:$J$214,MATCH("169",$B$6:$B$214,0))+15*INDEX($J$6:$J$214,MATCH("170",$B$6:$B$214,0))+70*INDEX($J$6:$J$214,MATCH("171",$B$6:$B$214,0)),"")</f>
        <v>398</v>
      </c>
      <c r="P168" s="9">
        <f>IF(COUNT(INDEX($K$6:$K$214,MATCH("169",$B$6:$B$214,0)),INDEX($L$6:$L$214,MATCH("169",$B$6:$B$214,0)),INDEX($L$6:$L$214,MATCH("170",$B$6:$B$214,0)),INDEX($L$6:$L$214,MATCH("171",$B$6:$B$214,0)))=4,INDEX($K$6:$K$214,MATCH("169",$B$6:$B$214,0))+14*INDEX($L$6:$L$214,MATCH("169",$B$6:$B$214,0))+15*INDEX($L$6:$L$214,MATCH("170",$B$6:$B$214,0))+70*INDEX($L$6:$L$214,MATCH("171",$B$6:$B$214,0)),"")</f>
        <v>3630</v>
      </c>
      <c r="Q168" s="9">
        <f>IF(COUNT(O168:P168)=2,O168*10+P168,"")</f>
        <v>7610</v>
      </c>
    </row>
    <row r="169" spans="2:17" ht="21.95" customHeight="1" x14ac:dyDescent="0.2">
      <c r="B169" s="4" t="s">
        <v>241</v>
      </c>
      <c r="C169" s="4" t="s">
        <v>242</v>
      </c>
      <c r="D169" s="4" t="s">
        <v>19</v>
      </c>
      <c r="E169" s="4" t="s">
        <v>27</v>
      </c>
      <c r="F169" s="4" t="s">
        <v>28</v>
      </c>
      <c r="G169" s="4" t="s">
        <v>22</v>
      </c>
      <c r="H169" s="4" t="s">
        <v>23</v>
      </c>
      <c r="I169" s="4">
        <v>5</v>
      </c>
      <c r="J169" s="4">
        <v>4</v>
      </c>
      <c r="K169" s="4">
        <v>50</v>
      </c>
      <c r="L169" s="4">
        <v>30</v>
      </c>
      <c r="M169" s="4">
        <v>3</v>
      </c>
      <c r="N169" s="4">
        <v>2</v>
      </c>
      <c r="O169" s="9">
        <f>IF(COUNT(INDEX($I$6:$I$214,MATCH("172",$B$6:$B$214,0)),INDEX($J$6:$J$214,MATCH("172",$B$6:$B$214,0)))=2,INDEX($I$6:$I$214,MATCH("172",$B$6:$B$214,0))+14*INDEX($J$6:$J$214,MATCH("172",$B$6:$B$214,0))+15*INDEX($J$6:$J$214,MATCH("172",$B$6:$B$214,0))+70*INDEX($J$6:$J$214,MATCH("172",$B$6:$B$214,0)),"")</f>
        <v>401</v>
      </c>
      <c r="P169" s="9">
        <f>IF(COUNT(INDEX($K$6:$K$214,MATCH("172",$B$6:$B$214,0)),INDEX($L$6:$L$214,MATCH("172",$B$6:$B$214,0)))=2,INDEX($K$6:$K$214,MATCH("172",$B$6:$B$214,0))+14*INDEX($L$6:$L$214,MATCH("172",$B$6:$B$214,0))+15*INDEX($L$6:$L$214,MATCH("172",$B$6:$B$214,0))+70*INDEX($L$6:$L$214,MATCH("172",$B$6:$B$214,0)),"")</f>
        <v>3020</v>
      </c>
      <c r="Q169" s="9">
        <f>IF(COUNT(O169:P169)=2,O169*10+P169,"")</f>
        <v>7030</v>
      </c>
    </row>
    <row r="170" spans="2:17" ht="21.95" customHeight="1" x14ac:dyDescent="0.2">
      <c r="B170" s="4" t="s">
        <v>229</v>
      </c>
      <c r="C170" s="4" t="s">
        <v>230</v>
      </c>
      <c r="D170" s="4" t="s">
        <v>19</v>
      </c>
      <c r="E170" s="4" t="s">
        <v>27</v>
      </c>
      <c r="F170" s="4" t="s">
        <v>28</v>
      </c>
      <c r="G170" s="4" t="s">
        <v>22</v>
      </c>
      <c r="H170" s="4" t="s">
        <v>23</v>
      </c>
      <c r="I170" s="4">
        <v>5</v>
      </c>
      <c r="J170" s="4">
        <v>3</v>
      </c>
      <c r="K170" s="4">
        <v>100</v>
      </c>
      <c r="L170" s="4">
        <v>40</v>
      </c>
      <c r="M170" s="4">
        <v>3</v>
      </c>
      <c r="N170" s="4">
        <v>2</v>
      </c>
      <c r="O170" s="9">
        <f>IF(COUNT(INDEX($I$6:$I$214,MATCH("173",$B$6:$B$214,0)),INDEX($J$6:$J$214,MATCH("173",$B$6:$B$214,0)))=2,INDEX($I$6:$I$214,MATCH("173",$B$6:$B$214,0))+14*INDEX($J$6:$J$214,MATCH("173",$B$6:$B$214,0))+15*INDEX($J$6:$J$214,MATCH("173",$B$6:$B$214,0))+70*INDEX($J$6:$J$214,MATCH("173",$B$6:$B$214,0)),"")</f>
        <v>302</v>
      </c>
      <c r="P170" s="9">
        <f>IF(COUNT(INDEX($K$6:$K$214,MATCH("173",$B$6:$B$214,0)),INDEX($L$6:$L$214,MATCH("173",$B$6:$B$214,0)))=2,INDEX($K$6:$K$214,MATCH("173",$B$6:$B$214,0))+14*INDEX($L$6:$L$214,MATCH("173",$B$6:$B$214,0))+15*INDEX($L$6:$L$214,MATCH("173",$B$6:$B$214,0))+70*INDEX($L$6:$L$214,MATCH("173",$B$6:$B$214,0)),"")</f>
        <v>4060</v>
      </c>
      <c r="Q170" s="9">
        <f>IF(COUNT(O170:P170)=2,O170*10+P170,"")</f>
        <v>7080</v>
      </c>
    </row>
    <row r="171" spans="2:17" ht="21.95" customHeight="1" x14ac:dyDescent="0.2">
      <c r="B171" s="4" t="s">
        <v>74</v>
      </c>
      <c r="C171" s="4" t="s">
        <v>75</v>
      </c>
      <c r="D171" s="4" t="s">
        <v>49</v>
      </c>
      <c r="E171" s="4" t="s">
        <v>20</v>
      </c>
      <c r="F171" s="4" t="s">
        <v>21</v>
      </c>
      <c r="G171" s="4" t="s">
        <v>22</v>
      </c>
      <c r="H171" s="4" t="s">
        <v>23</v>
      </c>
      <c r="I171" s="4">
        <v>4</v>
      </c>
      <c r="J171" s="4">
        <v>3</v>
      </c>
      <c r="K171" s="4">
        <v>90</v>
      </c>
      <c r="L171" s="4">
        <v>10</v>
      </c>
      <c r="M171" s="4">
        <v>7</v>
      </c>
      <c r="N171" s="4">
        <v>3</v>
      </c>
      <c r="O171" s="9">
        <f>IF(COUNT(INDEX($I$6:$I$214,MATCH("177",$B$6:$B$214,0)),INDEX($J$6:$J$214,MATCH("177",$B$6:$B$214,0)),INDEX($J$6:$J$214,MATCH("178",$B$6:$B$214,0)),INDEX($J$6:$J$214,MATCH("179",$B$6:$B$214,0)))=4,INDEX($I$6:$I$214,MATCH("177",$B$6:$B$214,0))+14*INDEX($J$6:$J$214,MATCH("177",$B$6:$B$214,0))+15*INDEX($J$6:$J$214,MATCH("178",$B$6:$B$214,0))+70*INDEX($J$6:$J$214,MATCH("179",$B$6:$B$214,0)),"")</f>
        <v>386</v>
      </c>
      <c r="P171" s="9">
        <f>IF(COUNT(INDEX($K$6:$K$214,MATCH("177",$B$6:$B$214,0)),INDEX($L$6:$L$214,MATCH("177",$B$6:$B$214,0)),INDEX($L$6:$L$214,MATCH("178",$B$6:$B$214,0)),INDEX($L$6:$L$214,MATCH("179",$B$6:$B$214,0)))=4,INDEX($K$6:$K$214,MATCH("177",$B$6:$B$214,0))+14*INDEX($L$6:$L$214,MATCH("177",$B$6:$B$214,0))+15*INDEX($L$6:$L$214,MATCH("178",$B$6:$B$214,0))+70*INDEX($L$6:$L$214,MATCH("179",$B$6:$B$214,0)),"")</f>
        <v>2630</v>
      </c>
      <c r="Q171" s="9">
        <f>IF(COUNT(O171:P171)=2,O171*10+P171,"")</f>
        <v>6490</v>
      </c>
    </row>
    <row r="172" spans="2:17" ht="21.95" customHeight="1" x14ac:dyDescent="0.2">
      <c r="B172" s="4" t="s">
        <v>76</v>
      </c>
      <c r="C172" s="4" t="s">
        <v>77</v>
      </c>
      <c r="D172" s="4" t="s">
        <v>49</v>
      </c>
      <c r="E172" s="4" t="s">
        <v>20</v>
      </c>
      <c r="F172" s="4" t="s">
        <v>21</v>
      </c>
      <c r="G172" s="4" t="s">
        <v>32</v>
      </c>
      <c r="H172" s="4" t="s">
        <v>23</v>
      </c>
      <c r="I172" s="4" t="s">
        <v>31</v>
      </c>
      <c r="J172" s="4">
        <v>4</v>
      </c>
      <c r="K172" s="4" t="s">
        <v>31</v>
      </c>
      <c r="L172" s="4">
        <v>20</v>
      </c>
      <c r="M172" s="4" t="s">
        <v>31</v>
      </c>
      <c r="N172" s="4">
        <v>4</v>
      </c>
      <c r="O172" s="9">
        <f>IF(COUNT(INDEX($I$6:$I$214,MATCH("177",$B$6:$B$214,0)),INDEX($J$6:$J$214,MATCH("177",$B$6:$B$214,0)),INDEX($J$6:$J$214,MATCH("178",$B$6:$B$214,0)),INDEX($J$6:$J$214,MATCH("179",$B$6:$B$214,0)))=4,INDEX($I$6:$I$214,MATCH("177",$B$6:$B$214,0))+14*INDEX($J$6:$J$214,MATCH("177",$B$6:$B$214,0))+15*INDEX($J$6:$J$214,MATCH("178",$B$6:$B$214,0))+70*INDEX($J$6:$J$214,MATCH("179",$B$6:$B$214,0)),"")</f>
        <v>386</v>
      </c>
      <c r="P172" s="9">
        <f>IF(COUNT(INDEX($K$6:$K$214,MATCH("177",$B$6:$B$214,0)),INDEX($L$6:$L$214,MATCH("177",$B$6:$B$214,0)),INDEX($L$6:$L$214,MATCH("178",$B$6:$B$214,0)),INDEX($L$6:$L$214,MATCH("179",$B$6:$B$214,0)))=4,INDEX($K$6:$K$214,MATCH("177",$B$6:$B$214,0))+14*INDEX($L$6:$L$214,MATCH("177",$B$6:$B$214,0))+15*INDEX($L$6:$L$214,MATCH("178",$B$6:$B$214,0))+70*INDEX($L$6:$L$214,MATCH("179",$B$6:$B$214,0)),"")</f>
        <v>2630</v>
      </c>
      <c r="Q172" s="9">
        <f>IF(COUNT(O172:P172)=2,O172*10+P172,"")</f>
        <v>6490</v>
      </c>
    </row>
    <row r="173" spans="2:17" ht="21.95" customHeight="1" x14ac:dyDescent="0.2">
      <c r="B173" s="4" t="s">
        <v>78</v>
      </c>
      <c r="C173" s="4" t="s">
        <v>79</v>
      </c>
      <c r="D173" s="4" t="s">
        <v>49</v>
      </c>
      <c r="E173" s="4" t="s">
        <v>20</v>
      </c>
      <c r="F173" s="4" t="s">
        <v>21</v>
      </c>
      <c r="G173" s="4" t="s">
        <v>35</v>
      </c>
      <c r="H173" s="4" t="s">
        <v>23</v>
      </c>
      <c r="I173" s="4" t="s">
        <v>31</v>
      </c>
      <c r="J173" s="4">
        <v>4</v>
      </c>
      <c r="K173" s="4" t="s">
        <v>31</v>
      </c>
      <c r="L173" s="4">
        <v>30</v>
      </c>
      <c r="M173" s="4" t="s">
        <v>31</v>
      </c>
      <c r="N173" s="4">
        <v>4</v>
      </c>
      <c r="O173" s="9">
        <f>IF(COUNT(INDEX($I$6:$I$214,MATCH("177",$B$6:$B$214,0)),INDEX($J$6:$J$214,MATCH("177",$B$6:$B$214,0)),INDEX($J$6:$J$214,MATCH("178",$B$6:$B$214,0)),INDEX($J$6:$J$214,MATCH("179",$B$6:$B$214,0)))=4,INDEX($I$6:$I$214,MATCH("177",$B$6:$B$214,0))+14*INDEX($J$6:$J$214,MATCH("177",$B$6:$B$214,0))+15*INDEX($J$6:$J$214,MATCH("178",$B$6:$B$214,0))+70*INDEX($J$6:$J$214,MATCH("179",$B$6:$B$214,0)),"")</f>
        <v>386</v>
      </c>
      <c r="P173" s="9">
        <f>IF(COUNT(INDEX($K$6:$K$214,MATCH("177",$B$6:$B$214,0)),INDEX($L$6:$L$214,MATCH("177",$B$6:$B$214,0)),INDEX($L$6:$L$214,MATCH("178",$B$6:$B$214,0)),INDEX($L$6:$L$214,MATCH("179",$B$6:$B$214,0)))=4,INDEX($K$6:$K$214,MATCH("177",$B$6:$B$214,0))+14*INDEX($L$6:$L$214,MATCH("177",$B$6:$B$214,0))+15*INDEX($L$6:$L$214,MATCH("178",$B$6:$B$214,0))+70*INDEX($L$6:$L$214,MATCH("179",$B$6:$B$214,0)),"")</f>
        <v>2630</v>
      </c>
      <c r="Q173" s="9">
        <f>IF(COUNT(O173:P173)=2,O173*10+P173,"")</f>
        <v>6490</v>
      </c>
    </row>
    <row r="174" spans="2:17" ht="21.95" customHeight="1" x14ac:dyDescent="0.2">
      <c r="B174" s="4" t="s">
        <v>80</v>
      </c>
      <c r="C174" s="4" t="s">
        <v>81</v>
      </c>
      <c r="D174" s="4" t="s">
        <v>49</v>
      </c>
      <c r="E174" s="4" t="s">
        <v>20</v>
      </c>
      <c r="F174" s="4" t="s">
        <v>21</v>
      </c>
      <c r="G174" s="4" t="s">
        <v>22</v>
      </c>
      <c r="H174" s="4" t="s">
        <v>23</v>
      </c>
      <c r="I174" s="4">
        <v>4</v>
      </c>
      <c r="J174" s="4">
        <v>2</v>
      </c>
      <c r="K174" s="4">
        <v>80</v>
      </c>
      <c r="L174" s="4">
        <v>30</v>
      </c>
      <c r="M174" s="4">
        <v>7</v>
      </c>
      <c r="N174" s="4">
        <v>3</v>
      </c>
      <c r="O174" s="9">
        <f>IF(COUNT(INDEX($I$6:$I$214,MATCH("180",$B$6:$B$214,0)),INDEX($J$6:$J$214,MATCH("180",$B$6:$B$214,0)),INDEX($J$6:$J$214,MATCH("181",$B$6:$B$214,0)),INDEX($J$6:$J$214,MATCH("182",$B$6:$B$214,0)))=4,INDEX($I$6:$I$214,MATCH("180",$B$6:$B$214,0))+14*INDEX($J$6:$J$214,MATCH("180",$B$6:$B$214,0))+15*INDEX($J$6:$J$214,MATCH("181",$B$6:$B$214,0))+70*INDEX($J$6:$J$214,MATCH("182",$B$6:$B$214,0)),"")</f>
        <v>202</v>
      </c>
      <c r="P174" s="9">
        <f>IF(COUNT(INDEX($K$6:$K$214,MATCH("180",$B$6:$B$214,0)),INDEX($L$6:$L$214,MATCH("180",$B$6:$B$214,0)),INDEX($L$6:$L$214,MATCH("181",$B$6:$B$214,0)),INDEX($L$6:$L$214,MATCH("182",$B$6:$B$214,0)))=4,INDEX($K$6:$K$214,MATCH("180",$B$6:$B$214,0))+14*INDEX($L$6:$L$214,MATCH("180",$B$6:$B$214,0))+15*INDEX($L$6:$L$214,MATCH("181",$B$6:$B$214,0))+70*INDEX($L$6:$L$214,MATCH("182",$B$6:$B$214,0)),"")</f>
        <v>4600</v>
      </c>
      <c r="Q174" s="9">
        <f>IF(COUNT(O174:P174)=2,O174*10+P174,"")</f>
        <v>6620</v>
      </c>
    </row>
    <row r="175" spans="2:17" ht="21.95" customHeight="1" x14ac:dyDescent="0.2">
      <c r="B175" s="4" t="s">
        <v>82</v>
      </c>
      <c r="C175" s="4" t="s">
        <v>83</v>
      </c>
      <c r="D175" s="4" t="s">
        <v>49</v>
      </c>
      <c r="E175" s="4" t="s">
        <v>20</v>
      </c>
      <c r="F175" s="4" t="s">
        <v>21</v>
      </c>
      <c r="G175" s="4" t="s">
        <v>32</v>
      </c>
      <c r="H175" s="4" t="s">
        <v>23</v>
      </c>
      <c r="I175" s="4" t="s">
        <v>31</v>
      </c>
      <c r="J175" s="4">
        <v>2</v>
      </c>
      <c r="K175" s="4" t="s">
        <v>31</v>
      </c>
      <c r="L175" s="4">
        <v>40</v>
      </c>
      <c r="M175" s="4" t="s">
        <v>31</v>
      </c>
      <c r="N175" s="4">
        <v>4</v>
      </c>
      <c r="O175" s="9">
        <f>IF(COUNT(INDEX($I$6:$I$214,MATCH("180",$B$6:$B$214,0)),INDEX($J$6:$J$214,MATCH("180",$B$6:$B$214,0)),INDEX($J$6:$J$214,MATCH("181",$B$6:$B$214,0)),INDEX($J$6:$J$214,MATCH("182",$B$6:$B$214,0)))=4,INDEX($I$6:$I$214,MATCH("180",$B$6:$B$214,0))+14*INDEX($J$6:$J$214,MATCH("180",$B$6:$B$214,0))+15*INDEX($J$6:$J$214,MATCH("181",$B$6:$B$214,0))+70*INDEX($J$6:$J$214,MATCH("182",$B$6:$B$214,0)),"")</f>
        <v>202</v>
      </c>
      <c r="P175" s="9">
        <f>IF(COUNT(INDEX($K$6:$K$214,MATCH("180",$B$6:$B$214,0)),INDEX($L$6:$L$214,MATCH("180",$B$6:$B$214,0)),INDEX($L$6:$L$214,MATCH("181",$B$6:$B$214,0)),INDEX($L$6:$L$214,MATCH("182",$B$6:$B$214,0)))=4,INDEX($K$6:$K$214,MATCH("180",$B$6:$B$214,0))+14*INDEX($L$6:$L$214,MATCH("180",$B$6:$B$214,0))+15*INDEX($L$6:$L$214,MATCH("181",$B$6:$B$214,0))+70*INDEX($L$6:$L$214,MATCH("182",$B$6:$B$214,0)),"")</f>
        <v>4600</v>
      </c>
      <c r="Q175" s="9">
        <f>IF(COUNT(O175:P175)=2,O175*10+P175,"")</f>
        <v>6620</v>
      </c>
    </row>
    <row r="176" spans="2:17" ht="21.95" customHeight="1" x14ac:dyDescent="0.2">
      <c r="B176" s="4" t="s">
        <v>84</v>
      </c>
      <c r="C176" s="4" t="s">
        <v>85</v>
      </c>
      <c r="D176" s="4" t="s">
        <v>49</v>
      </c>
      <c r="E176" s="4" t="s">
        <v>20</v>
      </c>
      <c r="F176" s="4" t="s">
        <v>21</v>
      </c>
      <c r="G176" s="4" t="s">
        <v>35</v>
      </c>
      <c r="H176" s="4" t="s">
        <v>23</v>
      </c>
      <c r="I176" s="4" t="s">
        <v>31</v>
      </c>
      <c r="J176" s="4">
        <v>2</v>
      </c>
      <c r="K176" s="4" t="s">
        <v>31</v>
      </c>
      <c r="L176" s="4">
        <v>50</v>
      </c>
      <c r="M176" s="4" t="s">
        <v>31</v>
      </c>
      <c r="N176" s="4">
        <v>4</v>
      </c>
      <c r="O176" s="9">
        <f>IF(COUNT(INDEX($I$6:$I$214,MATCH("180",$B$6:$B$214,0)),INDEX($J$6:$J$214,MATCH("180",$B$6:$B$214,0)),INDEX($J$6:$J$214,MATCH("181",$B$6:$B$214,0)),INDEX($J$6:$J$214,MATCH("182",$B$6:$B$214,0)))=4,INDEX($I$6:$I$214,MATCH("180",$B$6:$B$214,0))+14*INDEX($J$6:$J$214,MATCH("180",$B$6:$B$214,0))+15*INDEX($J$6:$J$214,MATCH("181",$B$6:$B$214,0))+70*INDEX($J$6:$J$214,MATCH("182",$B$6:$B$214,0)),"")</f>
        <v>202</v>
      </c>
      <c r="P176" s="9">
        <f>IF(COUNT(INDEX($K$6:$K$214,MATCH("180",$B$6:$B$214,0)),INDEX($L$6:$L$214,MATCH("180",$B$6:$B$214,0)),INDEX($L$6:$L$214,MATCH("181",$B$6:$B$214,0)),INDEX($L$6:$L$214,MATCH("182",$B$6:$B$214,0)))=4,INDEX($K$6:$K$214,MATCH("180",$B$6:$B$214,0))+14*INDEX($L$6:$L$214,MATCH("180",$B$6:$B$214,0))+15*INDEX($L$6:$L$214,MATCH("181",$B$6:$B$214,0))+70*INDEX($L$6:$L$214,MATCH("182",$B$6:$B$214,0)),"")</f>
        <v>4600</v>
      </c>
      <c r="Q176" s="9">
        <f>IF(COUNT(O176:P176)=2,O176*10+P176,"")</f>
        <v>6620</v>
      </c>
    </row>
    <row r="177" spans="2:17" ht="21.95" customHeight="1" x14ac:dyDescent="0.2">
      <c r="B177" s="4" t="s">
        <v>86</v>
      </c>
      <c r="C177" s="4" t="s">
        <v>87</v>
      </c>
      <c r="D177" s="4" t="s">
        <v>49</v>
      </c>
      <c r="E177" s="4" t="s">
        <v>20</v>
      </c>
      <c r="F177" s="4" t="s">
        <v>21</v>
      </c>
      <c r="G177" s="4" t="s">
        <v>22</v>
      </c>
      <c r="H177" s="4" t="s">
        <v>23</v>
      </c>
      <c r="I177" s="4">
        <v>4</v>
      </c>
      <c r="J177" s="4">
        <v>4</v>
      </c>
      <c r="K177" s="4">
        <v>80</v>
      </c>
      <c r="L177" s="4">
        <v>10</v>
      </c>
      <c r="M177" s="4">
        <v>7</v>
      </c>
      <c r="N177" s="4">
        <v>3</v>
      </c>
      <c r="O177" s="9">
        <f>IF(COUNT(INDEX($I$6:$I$214,MATCH("183",$B$6:$B$214,0)),INDEX($J$6:$J$214,MATCH("183",$B$6:$B$214,0)),INDEX($J$6:$J$214,MATCH("184",$B$6:$B$214,0)),INDEX($J$6:$J$214,MATCH("185",$B$6:$B$214,0)))=4,INDEX($I$6:$I$214,MATCH("183",$B$6:$B$214,0))+14*INDEX($J$6:$J$214,MATCH("183",$B$6:$B$214,0))+15*INDEX($J$6:$J$214,MATCH("184",$B$6:$B$214,0))+70*INDEX($J$6:$J$214,MATCH("185",$B$6:$B$214,0)),"")</f>
        <v>470</v>
      </c>
      <c r="P177" s="9">
        <f>IF(COUNT(INDEX($K$6:$K$214,MATCH("183",$B$6:$B$214,0)),INDEX($L$6:$L$214,MATCH("183",$B$6:$B$214,0)),INDEX($L$6:$L$214,MATCH("184",$B$6:$B$214,0)),INDEX($L$6:$L$214,MATCH("185",$B$6:$B$214,0)))=4,INDEX($K$6:$K$214,MATCH("183",$B$6:$B$214,0))+14*INDEX($L$6:$L$214,MATCH("183",$B$6:$B$214,0))+15*INDEX($L$6:$L$214,MATCH("184",$B$6:$B$214,0))+70*INDEX($L$6:$L$214,MATCH("185",$B$6:$B$214,0)),"")</f>
        <v>1920</v>
      </c>
      <c r="Q177" s="9">
        <f>IF(COUNT(O177:P177)=2,O177*10+P177,"")</f>
        <v>6620</v>
      </c>
    </row>
    <row r="178" spans="2:17" ht="21.95" customHeight="1" x14ac:dyDescent="0.2">
      <c r="B178" s="4" t="s">
        <v>88</v>
      </c>
      <c r="C178" s="4" t="s">
        <v>89</v>
      </c>
      <c r="D178" s="4" t="s">
        <v>49</v>
      </c>
      <c r="E178" s="4" t="s">
        <v>20</v>
      </c>
      <c r="F178" s="4" t="s">
        <v>21</v>
      </c>
      <c r="G178" s="4" t="s">
        <v>32</v>
      </c>
      <c r="H178" s="4" t="s">
        <v>23</v>
      </c>
      <c r="I178" s="4" t="s">
        <v>31</v>
      </c>
      <c r="J178" s="4">
        <v>4</v>
      </c>
      <c r="K178" s="4" t="s">
        <v>31</v>
      </c>
      <c r="L178" s="4">
        <v>20</v>
      </c>
      <c r="M178" s="4" t="s">
        <v>31</v>
      </c>
      <c r="N178" s="4">
        <v>3</v>
      </c>
      <c r="O178" s="9">
        <f>IF(COUNT(INDEX($I$6:$I$214,MATCH("183",$B$6:$B$214,0)),INDEX($J$6:$J$214,MATCH("183",$B$6:$B$214,0)),INDEX($J$6:$J$214,MATCH("184",$B$6:$B$214,0)),INDEX($J$6:$J$214,MATCH("185",$B$6:$B$214,0)))=4,INDEX($I$6:$I$214,MATCH("183",$B$6:$B$214,0))+14*INDEX($J$6:$J$214,MATCH("183",$B$6:$B$214,0))+15*INDEX($J$6:$J$214,MATCH("184",$B$6:$B$214,0))+70*INDEX($J$6:$J$214,MATCH("185",$B$6:$B$214,0)),"")</f>
        <v>470</v>
      </c>
      <c r="P178" s="9">
        <f>IF(COUNT(INDEX($K$6:$K$214,MATCH("183",$B$6:$B$214,0)),INDEX($L$6:$L$214,MATCH("183",$B$6:$B$214,0)),INDEX($L$6:$L$214,MATCH("184",$B$6:$B$214,0)),INDEX($L$6:$L$214,MATCH("185",$B$6:$B$214,0)))=4,INDEX($K$6:$K$214,MATCH("183",$B$6:$B$214,0))+14*INDEX($L$6:$L$214,MATCH("183",$B$6:$B$214,0))+15*INDEX($L$6:$L$214,MATCH("184",$B$6:$B$214,0))+70*INDEX($L$6:$L$214,MATCH("185",$B$6:$B$214,0)),"")</f>
        <v>1920</v>
      </c>
      <c r="Q178" s="9">
        <f>IF(COUNT(O178:P178)=2,O178*10+P178,"")</f>
        <v>6620</v>
      </c>
    </row>
    <row r="179" spans="2:17" ht="21.95" customHeight="1" x14ac:dyDescent="0.2">
      <c r="B179" s="4" t="s">
        <v>90</v>
      </c>
      <c r="C179" s="4" t="s">
        <v>91</v>
      </c>
      <c r="D179" s="4" t="s">
        <v>49</v>
      </c>
      <c r="E179" s="4" t="s">
        <v>20</v>
      </c>
      <c r="F179" s="4" t="s">
        <v>21</v>
      </c>
      <c r="G179" s="4" t="s">
        <v>35</v>
      </c>
      <c r="H179" s="4" t="s">
        <v>23</v>
      </c>
      <c r="I179" s="4" t="s">
        <v>31</v>
      </c>
      <c r="J179" s="4">
        <v>5</v>
      </c>
      <c r="K179" s="4" t="s">
        <v>31</v>
      </c>
      <c r="L179" s="4">
        <v>20</v>
      </c>
      <c r="M179" s="4" t="s">
        <v>31</v>
      </c>
      <c r="N179" s="4">
        <v>4</v>
      </c>
      <c r="O179" s="9">
        <f>IF(COUNT(INDEX($I$6:$I$214,MATCH("183",$B$6:$B$214,0)),INDEX($J$6:$J$214,MATCH("183",$B$6:$B$214,0)),INDEX($J$6:$J$214,MATCH("184",$B$6:$B$214,0)),INDEX($J$6:$J$214,MATCH("185",$B$6:$B$214,0)))=4,INDEX($I$6:$I$214,MATCH("183",$B$6:$B$214,0))+14*INDEX($J$6:$J$214,MATCH("183",$B$6:$B$214,0))+15*INDEX($J$6:$J$214,MATCH("184",$B$6:$B$214,0))+70*INDEX($J$6:$J$214,MATCH("185",$B$6:$B$214,0)),"")</f>
        <v>470</v>
      </c>
      <c r="P179" s="9">
        <f>IF(COUNT(INDEX($K$6:$K$214,MATCH("183",$B$6:$B$214,0)),INDEX($L$6:$L$214,MATCH("183",$B$6:$B$214,0)),INDEX($L$6:$L$214,MATCH("184",$B$6:$B$214,0)),INDEX($L$6:$L$214,MATCH("185",$B$6:$B$214,0)))=4,INDEX($K$6:$K$214,MATCH("183",$B$6:$B$214,0))+14*INDEX($L$6:$L$214,MATCH("183",$B$6:$B$214,0))+15*INDEX($L$6:$L$214,MATCH("184",$B$6:$B$214,0))+70*INDEX($L$6:$L$214,MATCH("185",$B$6:$B$214,0)),"")</f>
        <v>1920</v>
      </c>
      <c r="Q179" s="9">
        <f>IF(COUNT(O179:P179)=2,O179*10+P179,"")</f>
        <v>6620</v>
      </c>
    </row>
    <row r="180" spans="2:17" ht="21.95" customHeight="1" x14ac:dyDescent="0.2">
      <c r="B180" s="4" t="s">
        <v>47</v>
      </c>
      <c r="C180" s="4" t="s">
        <v>48</v>
      </c>
      <c r="D180" s="4" t="s">
        <v>49</v>
      </c>
      <c r="E180" s="4" t="s">
        <v>20</v>
      </c>
      <c r="F180" s="4" t="s">
        <v>21</v>
      </c>
      <c r="G180" s="4" t="s">
        <v>22</v>
      </c>
      <c r="H180" s="4" t="s">
        <v>40</v>
      </c>
      <c r="I180" s="4">
        <v>2</v>
      </c>
      <c r="J180" s="4">
        <v>2</v>
      </c>
      <c r="K180" s="4">
        <v>100</v>
      </c>
      <c r="L180" s="4">
        <v>30</v>
      </c>
      <c r="M180" s="4">
        <v>7</v>
      </c>
      <c r="N180" s="4">
        <v>5</v>
      </c>
      <c r="O180" s="9">
        <f>IF(COUNT(INDEX($I$6:$I$214,MATCH("186",$B$6:$B$214,0)),INDEX($J$6:$J$214,MATCH("186",$B$6:$B$214,0)),INDEX($J$6:$J$214,MATCH("187",$B$6:$B$214,0)))=3,INDEX($I$6:$I$214,MATCH("186",$B$6:$B$214,0))+14*INDEX($J$6:$J$214,MATCH("186",$B$6:$B$214,0))+15*INDEX($J$6:$J$214,MATCH("187",$B$6:$B$214,0))+70*INDEX($J$6:$J$214,MATCH("187",$B$6:$B$214,0)),"")</f>
        <v>285</v>
      </c>
      <c r="P180" s="9">
        <f>IF(COUNT(INDEX($K$6:$K$214,MATCH("186",$B$6:$B$214,0)),INDEX($L$6:$L$214,MATCH("186",$B$6:$B$214,0)),INDEX($L$6:$L$214,MATCH("187",$B$6:$B$214,0)))=3,INDEX($K$6:$K$214,MATCH("186",$B$6:$B$214,0))+14*INDEX($L$6:$L$214,MATCH("186",$B$6:$B$214,0))+15*INDEX($L$6:$L$214,MATCH("187",$B$6:$B$214,0))+70*INDEX($L$6:$L$214,MATCH("187",$B$6:$B$214,0)),"")</f>
        <v>3920</v>
      </c>
      <c r="Q180" s="9">
        <f>IF(COUNT(O180:P180)=2,O180*10+P180,"")</f>
        <v>6770</v>
      </c>
    </row>
    <row r="181" spans="2:17" ht="21.95" customHeight="1" x14ac:dyDescent="0.2">
      <c r="B181" s="4" t="s">
        <v>50</v>
      </c>
      <c r="C181" s="4" t="s">
        <v>51</v>
      </c>
      <c r="D181" s="4" t="s">
        <v>49</v>
      </c>
      <c r="E181" s="4" t="s">
        <v>20</v>
      </c>
      <c r="F181" s="4" t="s">
        <v>31</v>
      </c>
      <c r="G181" s="4" t="s">
        <v>32</v>
      </c>
      <c r="H181" s="4" t="s">
        <v>40</v>
      </c>
      <c r="I181" s="4" t="s">
        <v>31</v>
      </c>
      <c r="J181" s="4">
        <v>3</v>
      </c>
      <c r="K181" s="4" t="s">
        <v>31</v>
      </c>
      <c r="L181" s="4">
        <v>40</v>
      </c>
      <c r="M181" s="4" t="s">
        <v>31</v>
      </c>
      <c r="N181" s="4">
        <v>5</v>
      </c>
      <c r="O181" s="9">
        <f>IF(COUNT(INDEX($I$6:$I$214,MATCH("186",$B$6:$B$214,0)),INDEX($J$6:$J$214,MATCH("186",$B$6:$B$214,0)),INDEX($J$6:$J$214,MATCH("187",$B$6:$B$214,0)))=3,INDEX($I$6:$I$214,MATCH("186",$B$6:$B$214,0))+14*INDEX($J$6:$J$214,MATCH("186",$B$6:$B$214,0))+15*INDEX($J$6:$J$214,MATCH("187",$B$6:$B$214,0))+70*INDEX($J$6:$J$214,MATCH("187",$B$6:$B$214,0)),"")</f>
        <v>285</v>
      </c>
      <c r="P181" s="9">
        <f>IF(COUNT(INDEX($K$6:$K$214,MATCH("186",$B$6:$B$214,0)),INDEX($L$6:$L$214,MATCH("186",$B$6:$B$214,0)),INDEX($L$6:$L$214,MATCH("187",$B$6:$B$214,0)))=3,INDEX($K$6:$K$214,MATCH("186",$B$6:$B$214,0))+14*INDEX($L$6:$L$214,MATCH("186",$B$6:$B$214,0))+15*INDEX($L$6:$L$214,MATCH("187",$B$6:$B$214,0))+70*INDEX($L$6:$L$214,MATCH("187",$B$6:$B$214,0)),"")</f>
        <v>3920</v>
      </c>
      <c r="Q181" s="9">
        <f>IF(COUNT(O181:P181)=2,O181*10+P181,"")</f>
        <v>6770</v>
      </c>
    </row>
    <row r="182" spans="2:17" ht="21.95" customHeight="1" x14ac:dyDescent="0.2">
      <c r="B182" s="4" t="s">
        <v>355</v>
      </c>
      <c r="C182" s="4" t="s">
        <v>356</v>
      </c>
      <c r="D182" s="4" t="s">
        <v>49</v>
      </c>
      <c r="E182" s="4" t="s">
        <v>27</v>
      </c>
      <c r="F182" s="4" t="s">
        <v>28</v>
      </c>
      <c r="G182" s="4" t="s">
        <v>22</v>
      </c>
      <c r="H182" s="4" t="s">
        <v>23</v>
      </c>
      <c r="I182" s="4">
        <v>1</v>
      </c>
      <c r="J182" s="4">
        <v>2</v>
      </c>
      <c r="K182" s="4">
        <v>10</v>
      </c>
      <c r="L182" s="4">
        <v>30</v>
      </c>
      <c r="M182" s="4">
        <v>1</v>
      </c>
      <c r="N182" s="4">
        <v>1</v>
      </c>
      <c r="O182" s="9">
        <f>IF(COUNT(INDEX($I$6:$I$214,MATCH("188",$B$6:$B$214,0)),INDEX($J$6:$J$214,MATCH("188",$B$6:$B$214,0)),INDEX($J$6:$J$214,MATCH("189",$B$6:$B$214,0)),INDEX($J$6:$J$214,MATCH("190",$B$6:$B$214,0)))=4,INDEX($I$6:$I$214,MATCH("188",$B$6:$B$214,0))+14*INDEX($J$6:$J$214,MATCH("188",$B$6:$B$214,0))+15*INDEX($J$6:$J$214,MATCH("189",$B$6:$B$214,0))+70*INDEX($J$6:$J$214,MATCH("190",$B$6:$B$214,0)),"")</f>
        <v>354</v>
      </c>
      <c r="P182" s="9">
        <f>IF(COUNT(INDEX($K$6:$K$214,MATCH("188",$B$6:$B$214,0)),INDEX($L$6:$L$214,MATCH("188",$B$6:$B$214,0)),INDEX($L$6:$L$214,MATCH("189",$B$6:$B$214,0)),INDEX($L$6:$L$214,MATCH("190",$B$6:$B$214,0)))=4,INDEX($K$6:$K$214,MATCH("188",$B$6:$B$214,0))+14*INDEX($L$6:$L$214,MATCH("188",$B$6:$B$214,0))+15*INDEX($L$6:$L$214,MATCH("189",$B$6:$B$214,0))+70*INDEX($L$6:$L$214,MATCH("190",$B$6:$B$214,0)),"")</f>
        <v>4380</v>
      </c>
      <c r="Q182" s="9">
        <f>IF(COUNT(O182:P182)=2,O182*10+P182,"")</f>
        <v>7920</v>
      </c>
    </row>
    <row r="183" spans="2:17" ht="21.95" customHeight="1" x14ac:dyDescent="0.2">
      <c r="B183" s="4" t="s">
        <v>357</v>
      </c>
      <c r="C183" s="4" t="s">
        <v>358</v>
      </c>
      <c r="D183" s="4" t="s">
        <v>49</v>
      </c>
      <c r="E183" s="4" t="s">
        <v>27</v>
      </c>
      <c r="F183" s="4" t="s">
        <v>31</v>
      </c>
      <c r="G183" s="4" t="s">
        <v>32</v>
      </c>
      <c r="H183" s="4" t="s">
        <v>23</v>
      </c>
      <c r="I183" s="4" t="s">
        <v>31</v>
      </c>
      <c r="J183" s="4">
        <v>3</v>
      </c>
      <c r="K183" s="4" t="s">
        <v>31</v>
      </c>
      <c r="L183" s="4">
        <v>30</v>
      </c>
      <c r="M183" s="4" t="s">
        <v>31</v>
      </c>
      <c r="N183" s="4">
        <v>6</v>
      </c>
      <c r="O183" s="9">
        <f>IF(COUNT(INDEX($I$6:$I$214,MATCH("188",$B$6:$B$214,0)),INDEX($J$6:$J$214,MATCH("188",$B$6:$B$214,0)),INDEX($J$6:$J$214,MATCH("189",$B$6:$B$214,0)),INDEX($J$6:$J$214,MATCH("190",$B$6:$B$214,0)))=4,INDEX($I$6:$I$214,MATCH("188",$B$6:$B$214,0))+14*INDEX($J$6:$J$214,MATCH("188",$B$6:$B$214,0))+15*INDEX($J$6:$J$214,MATCH("189",$B$6:$B$214,0))+70*INDEX($J$6:$J$214,MATCH("190",$B$6:$B$214,0)),"")</f>
        <v>354</v>
      </c>
      <c r="P183" s="9">
        <f>IF(COUNT(INDEX($K$6:$K$214,MATCH("188",$B$6:$B$214,0)),INDEX($L$6:$L$214,MATCH("188",$B$6:$B$214,0)),INDEX($L$6:$L$214,MATCH("189",$B$6:$B$214,0)),INDEX($L$6:$L$214,MATCH("190",$B$6:$B$214,0)))=4,INDEX($K$6:$K$214,MATCH("188",$B$6:$B$214,0))+14*INDEX($L$6:$L$214,MATCH("188",$B$6:$B$214,0))+15*INDEX($L$6:$L$214,MATCH("189",$B$6:$B$214,0))+70*INDEX($L$6:$L$214,MATCH("190",$B$6:$B$214,0)),"")</f>
        <v>4380</v>
      </c>
      <c r="Q183" s="9">
        <f>IF(COUNT(O183:P183)=2,O183*10+P183,"")</f>
        <v>7920</v>
      </c>
    </row>
    <row r="184" spans="2:17" ht="21.95" customHeight="1" x14ac:dyDescent="0.2">
      <c r="B184" s="4" t="s">
        <v>359</v>
      </c>
      <c r="C184" s="4" t="s">
        <v>360</v>
      </c>
      <c r="D184" s="4" t="s">
        <v>49</v>
      </c>
      <c r="E184" s="4" t="s">
        <v>27</v>
      </c>
      <c r="F184" s="4" t="s">
        <v>31</v>
      </c>
      <c r="G184" s="4" t="s">
        <v>35</v>
      </c>
      <c r="H184" s="4" t="s">
        <v>23</v>
      </c>
      <c r="I184" s="4" t="s">
        <v>31</v>
      </c>
      <c r="J184" s="4">
        <v>4</v>
      </c>
      <c r="K184" s="4" t="s">
        <v>31</v>
      </c>
      <c r="L184" s="4">
        <v>50</v>
      </c>
      <c r="M184" s="4" t="s">
        <v>31</v>
      </c>
      <c r="N184" s="4">
        <v>6</v>
      </c>
      <c r="O184" s="9">
        <f>IF(COUNT(INDEX($I$6:$I$214,MATCH("188",$B$6:$B$214,0)),INDEX($J$6:$J$214,MATCH("188",$B$6:$B$214,0)),INDEX($J$6:$J$214,MATCH("189",$B$6:$B$214,0)),INDEX($J$6:$J$214,MATCH("190",$B$6:$B$214,0)))=4,INDEX($I$6:$I$214,MATCH("188",$B$6:$B$214,0))+14*INDEX($J$6:$J$214,MATCH("188",$B$6:$B$214,0))+15*INDEX($J$6:$J$214,MATCH("189",$B$6:$B$214,0))+70*INDEX($J$6:$J$214,MATCH("190",$B$6:$B$214,0)),"")</f>
        <v>354</v>
      </c>
      <c r="P184" s="9">
        <f>IF(COUNT(INDEX($K$6:$K$214,MATCH("188",$B$6:$B$214,0)),INDEX($L$6:$L$214,MATCH("188",$B$6:$B$214,0)),INDEX($L$6:$L$214,MATCH("189",$B$6:$B$214,0)),INDEX($L$6:$L$214,MATCH("190",$B$6:$B$214,0)))=4,INDEX($K$6:$K$214,MATCH("188",$B$6:$B$214,0))+14*INDEX($L$6:$L$214,MATCH("188",$B$6:$B$214,0))+15*INDEX($L$6:$L$214,MATCH("189",$B$6:$B$214,0))+70*INDEX($L$6:$L$214,MATCH("190",$B$6:$B$214,0)),"")</f>
        <v>4380</v>
      </c>
      <c r="Q184" s="9">
        <f>IF(COUNT(O184:P184)=2,O184*10+P184,"")</f>
        <v>7920</v>
      </c>
    </row>
    <row r="185" spans="2:17" ht="21.95" customHeight="1" x14ac:dyDescent="0.2">
      <c r="B185" s="4" t="s">
        <v>341</v>
      </c>
      <c r="C185" s="4" t="s">
        <v>342</v>
      </c>
      <c r="D185" s="4" t="s">
        <v>49</v>
      </c>
      <c r="E185" s="4" t="s">
        <v>27</v>
      </c>
      <c r="F185" s="4" t="s">
        <v>28</v>
      </c>
      <c r="G185" s="4" t="s">
        <v>22</v>
      </c>
      <c r="H185" s="4" t="s">
        <v>40</v>
      </c>
      <c r="I185" s="4">
        <v>1</v>
      </c>
      <c r="J185" s="4">
        <v>3</v>
      </c>
      <c r="K185" s="4">
        <v>110</v>
      </c>
      <c r="L185" s="4">
        <v>40</v>
      </c>
      <c r="M185" s="4">
        <v>3</v>
      </c>
      <c r="N185" s="4">
        <v>4</v>
      </c>
      <c r="O185" s="9">
        <f>IF(COUNT(INDEX($I$6:$I$214,MATCH("191",$B$6:$B$214,0)),INDEX($J$6:$J$214,MATCH("191",$B$6:$B$214,0)))=2,INDEX($I$6:$I$214,MATCH("191",$B$6:$B$214,0))+14*INDEX($J$6:$J$214,MATCH("191",$B$6:$B$214,0))+15*INDEX($J$6:$J$214,MATCH("191",$B$6:$B$214,0))+70*INDEX($J$6:$J$214,MATCH("191",$B$6:$B$214,0)),"")</f>
        <v>298</v>
      </c>
      <c r="P185" s="9">
        <f>IF(COUNT(INDEX($K$6:$K$214,MATCH("191",$B$6:$B$214,0)),INDEX($L$6:$L$214,MATCH("191",$B$6:$B$214,0)))=2,INDEX($K$6:$K$214,MATCH("191",$B$6:$B$214,0))+14*INDEX($L$6:$L$214,MATCH("191",$B$6:$B$214,0))+15*INDEX($L$6:$L$214,MATCH("191",$B$6:$B$214,0))+70*INDEX($L$6:$L$214,MATCH("191",$B$6:$B$214,0)),"")</f>
        <v>4070</v>
      </c>
      <c r="Q185" s="9">
        <f>IF(COUNT(O185:P185)=2,O185*10+P185,"")</f>
        <v>7050</v>
      </c>
    </row>
    <row r="186" spans="2:17" ht="21.95" customHeight="1" x14ac:dyDescent="0.2">
      <c r="B186" s="4" t="s">
        <v>235</v>
      </c>
      <c r="C186" s="4" t="s">
        <v>236</v>
      </c>
      <c r="D186" s="4" t="s">
        <v>49</v>
      </c>
      <c r="E186" s="4" t="s">
        <v>27</v>
      </c>
      <c r="F186" s="4" t="s">
        <v>28</v>
      </c>
      <c r="G186" s="4" t="s">
        <v>22</v>
      </c>
      <c r="H186" s="4" t="s">
        <v>40</v>
      </c>
      <c r="I186" s="4">
        <v>5</v>
      </c>
      <c r="J186" s="4">
        <v>5</v>
      </c>
      <c r="K186" s="4">
        <v>90</v>
      </c>
      <c r="L186" s="4">
        <v>20</v>
      </c>
      <c r="M186" s="4">
        <v>9</v>
      </c>
      <c r="N186" s="4">
        <v>4</v>
      </c>
      <c r="O186" s="9">
        <f>IF(COUNT(INDEX($I$6:$I$214,MATCH("192",$B$6:$B$214,0)),INDEX($J$6:$J$214,MATCH("192",$B$6:$B$214,0)))=2,INDEX($I$6:$I$214,MATCH("192",$B$6:$B$214,0))+14*INDEX($J$6:$J$214,MATCH("192",$B$6:$B$214,0))+15*INDEX($J$6:$J$214,MATCH("192",$B$6:$B$214,0))+70*INDEX($J$6:$J$214,MATCH("192",$B$6:$B$214,0)),"")</f>
        <v>500</v>
      </c>
      <c r="P186" s="9">
        <f>IF(COUNT(INDEX($K$6:$K$214,MATCH("192",$B$6:$B$214,0)),INDEX($L$6:$L$214,MATCH("192",$B$6:$B$214,0)))=2,INDEX($K$6:$K$214,MATCH("192",$B$6:$B$214,0))+14*INDEX($L$6:$L$214,MATCH("192",$B$6:$B$214,0))+15*INDEX($L$6:$L$214,MATCH("192",$B$6:$B$214,0))+70*INDEX($L$6:$L$214,MATCH("192",$B$6:$B$214,0)),"")</f>
        <v>2070</v>
      </c>
      <c r="Q186" s="9">
        <f>IF(COUNT(O186:P186)=2,O186*10+P186,"")</f>
        <v>7070</v>
      </c>
    </row>
    <row r="187" spans="2:17" ht="21.95" customHeight="1" x14ac:dyDescent="0.2">
      <c r="B187" s="4" t="s">
        <v>283</v>
      </c>
      <c r="C187" s="4" t="s">
        <v>284</v>
      </c>
      <c r="D187" s="4" t="s">
        <v>26</v>
      </c>
      <c r="E187" s="4" t="s">
        <v>38</v>
      </c>
      <c r="F187" s="4" t="s">
        <v>39</v>
      </c>
      <c r="G187" s="4" t="s">
        <v>22</v>
      </c>
      <c r="H187" s="4" t="s">
        <v>40</v>
      </c>
      <c r="I187" s="4">
        <v>5</v>
      </c>
      <c r="J187" s="4">
        <v>3</v>
      </c>
      <c r="K187" s="4">
        <v>60</v>
      </c>
      <c r="L187" s="4">
        <v>10</v>
      </c>
      <c r="M187" s="4">
        <v>7</v>
      </c>
      <c r="N187" s="4">
        <v>4</v>
      </c>
      <c r="O187" s="9">
        <f>IF(COUNT(INDEX($I$6:$I$214,MATCH("194",$B$6:$B$214,0)),INDEX($J$6:$J$214,MATCH("194",$B$6:$B$214,0)),INDEX($J$6:$J$214,MATCH("195",$B$6:$B$214,0)),INDEX($J$6:$J$214,MATCH("196",$B$6:$B$214,0)))=4,INDEX($I$6:$I$214,MATCH("194",$B$6:$B$214,0))+14*INDEX($J$6:$J$214,MATCH("194",$B$6:$B$214,0))+15*INDEX($J$6:$J$214,MATCH("195",$B$6:$B$214,0))+70*INDEX($J$6:$J$214,MATCH("196",$B$6:$B$214,0)),"")</f>
        <v>387</v>
      </c>
      <c r="P187" s="9">
        <f>IF(COUNT(INDEX($K$6:$K$214,MATCH("194",$B$6:$B$214,0)),INDEX($L$6:$L$214,MATCH("194",$B$6:$B$214,0)),INDEX($L$6:$L$214,MATCH("195",$B$6:$B$214,0)),INDEX($L$6:$L$214,MATCH("196",$B$6:$B$214,0)))=4,INDEX($K$6:$K$214,MATCH("194",$B$6:$B$214,0))+14*INDEX($L$6:$L$214,MATCH("194",$B$6:$B$214,0))+15*INDEX($L$6:$L$214,MATCH("195",$B$6:$B$214,0))+70*INDEX($L$6:$L$214,MATCH("196",$B$6:$B$214,0)),"")</f>
        <v>1900</v>
      </c>
      <c r="Q187" s="9">
        <f>IF(COUNT(O187:P187)=2,O187*10+P187,"")</f>
        <v>5770</v>
      </c>
    </row>
    <row r="188" spans="2:17" ht="21.95" customHeight="1" x14ac:dyDescent="0.2">
      <c r="B188" s="4" t="s">
        <v>285</v>
      </c>
      <c r="C188" s="4" t="s">
        <v>286</v>
      </c>
      <c r="D188" s="4" t="s">
        <v>26</v>
      </c>
      <c r="E188" s="4" t="s">
        <v>38</v>
      </c>
      <c r="F188" s="4" t="s">
        <v>31</v>
      </c>
      <c r="G188" s="4" t="s">
        <v>32</v>
      </c>
      <c r="H188" s="4" t="s">
        <v>40</v>
      </c>
      <c r="I188" s="4" t="s">
        <v>31</v>
      </c>
      <c r="J188" s="4">
        <v>4</v>
      </c>
      <c r="K188" s="4" t="s">
        <v>31</v>
      </c>
      <c r="L188" s="4">
        <v>20</v>
      </c>
      <c r="M188" s="4" t="s">
        <v>31</v>
      </c>
      <c r="N188" s="4">
        <v>5</v>
      </c>
      <c r="O188" s="9">
        <f>IF(COUNT(INDEX($I$6:$I$214,MATCH("194",$B$6:$B$214,0)),INDEX($J$6:$J$214,MATCH("194",$B$6:$B$214,0)),INDEX($J$6:$J$214,MATCH("195",$B$6:$B$214,0)),INDEX($J$6:$J$214,MATCH("196",$B$6:$B$214,0)))=4,INDEX($I$6:$I$214,MATCH("194",$B$6:$B$214,0))+14*INDEX($J$6:$J$214,MATCH("194",$B$6:$B$214,0))+15*INDEX($J$6:$J$214,MATCH("195",$B$6:$B$214,0))+70*INDEX($J$6:$J$214,MATCH("196",$B$6:$B$214,0)),"")</f>
        <v>387</v>
      </c>
      <c r="P188" s="9">
        <f>IF(COUNT(INDEX($K$6:$K$214,MATCH("194",$B$6:$B$214,0)),INDEX($L$6:$L$214,MATCH("194",$B$6:$B$214,0)),INDEX($L$6:$L$214,MATCH("195",$B$6:$B$214,0)),INDEX($L$6:$L$214,MATCH("196",$B$6:$B$214,0)))=4,INDEX($K$6:$K$214,MATCH("194",$B$6:$B$214,0))+14*INDEX($L$6:$L$214,MATCH("194",$B$6:$B$214,0))+15*INDEX($L$6:$L$214,MATCH("195",$B$6:$B$214,0))+70*INDEX($L$6:$L$214,MATCH("196",$B$6:$B$214,0)),"")</f>
        <v>1900</v>
      </c>
      <c r="Q188" s="9">
        <f>IF(COUNT(O188:P188)=2,O188*10+P188,"")</f>
        <v>5770</v>
      </c>
    </row>
    <row r="189" spans="2:17" ht="21.95" customHeight="1" x14ac:dyDescent="0.2">
      <c r="B189" s="4" t="s">
        <v>287</v>
      </c>
      <c r="C189" s="4" t="s">
        <v>288</v>
      </c>
      <c r="D189" s="4" t="s">
        <v>26</v>
      </c>
      <c r="E189" s="4" t="s">
        <v>38</v>
      </c>
      <c r="F189" s="4" t="s">
        <v>31</v>
      </c>
      <c r="G189" s="4" t="s">
        <v>35</v>
      </c>
      <c r="H189" s="4" t="s">
        <v>40</v>
      </c>
      <c r="I189" s="4" t="s">
        <v>31</v>
      </c>
      <c r="J189" s="4">
        <v>4</v>
      </c>
      <c r="K189" s="4" t="s">
        <v>31</v>
      </c>
      <c r="L189" s="4">
        <v>20</v>
      </c>
      <c r="M189" s="4" t="s">
        <v>31</v>
      </c>
      <c r="N189" s="4">
        <v>5</v>
      </c>
      <c r="O189" s="9">
        <f>IF(COUNT(INDEX($I$6:$I$214,MATCH("194",$B$6:$B$214,0)),INDEX($J$6:$J$214,MATCH("194",$B$6:$B$214,0)),INDEX($J$6:$J$214,MATCH("195",$B$6:$B$214,0)),INDEX($J$6:$J$214,MATCH("196",$B$6:$B$214,0)))=4,INDEX($I$6:$I$214,MATCH("194",$B$6:$B$214,0))+14*INDEX($J$6:$J$214,MATCH("194",$B$6:$B$214,0))+15*INDEX($J$6:$J$214,MATCH("195",$B$6:$B$214,0))+70*INDEX($J$6:$J$214,MATCH("196",$B$6:$B$214,0)),"")</f>
        <v>387</v>
      </c>
      <c r="P189" s="9">
        <f>IF(COUNT(INDEX($K$6:$K$214,MATCH("194",$B$6:$B$214,0)),INDEX($L$6:$L$214,MATCH("194",$B$6:$B$214,0)),INDEX($L$6:$L$214,MATCH("195",$B$6:$B$214,0)),INDEX($L$6:$L$214,MATCH("196",$B$6:$B$214,0)))=4,INDEX($K$6:$K$214,MATCH("194",$B$6:$B$214,0))+14*INDEX($L$6:$L$214,MATCH("194",$B$6:$B$214,0))+15*INDEX($L$6:$L$214,MATCH("195",$B$6:$B$214,0))+70*INDEX($L$6:$L$214,MATCH("196",$B$6:$B$214,0)),"")</f>
        <v>1900</v>
      </c>
      <c r="Q189" s="9">
        <f>IF(COUNT(O189:P189)=2,O189*10+P189,"")</f>
        <v>5770</v>
      </c>
    </row>
    <row r="190" spans="2:17" ht="21.95" customHeight="1" x14ac:dyDescent="0.2">
      <c r="B190" s="4" t="s">
        <v>142</v>
      </c>
      <c r="C190" s="4" t="s">
        <v>143</v>
      </c>
      <c r="D190" s="4" t="s">
        <v>26</v>
      </c>
      <c r="E190" s="4" t="s">
        <v>38</v>
      </c>
      <c r="F190" s="4" t="s">
        <v>39</v>
      </c>
      <c r="G190" s="4" t="s">
        <v>22</v>
      </c>
      <c r="H190" s="4" t="s">
        <v>40</v>
      </c>
      <c r="I190" s="4">
        <v>5</v>
      </c>
      <c r="J190" s="4">
        <v>2</v>
      </c>
      <c r="K190" s="4">
        <v>60</v>
      </c>
      <c r="L190" s="4">
        <v>10</v>
      </c>
      <c r="M190" s="4">
        <v>10</v>
      </c>
      <c r="N190" s="4">
        <v>4</v>
      </c>
      <c r="O190" s="9">
        <f>IF(COUNT(INDEX($I$6:$I$214,MATCH("197",$B$6:$B$214,0)),INDEX($J$6:$J$214,MATCH("197",$B$6:$B$214,0)),INDEX($J$6:$J$214,MATCH("198",$B$6:$B$214,0)),INDEX($J$6:$J$214,MATCH("199",$B$6:$B$214,0)))=4,INDEX($I$6:$I$214,MATCH("197",$B$6:$B$214,0))+14*INDEX($J$6:$J$214,MATCH("197",$B$6:$B$214,0))+15*INDEX($J$6:$J$214,MATCH("198",$B$6:$B$214,0))+70*INDEX($J$6:$J$214,MATCH("199",$B$6:$B$214,0)),"")</f>
        <v>413</v>
      </c>
      <c r="P190" s="9">
        <f>IF(COUNT(INDEX($K$6:$K$214,MATCH("197",$B$6:$B$214,0)),INDEX($L$6:$L$214,MATCH("197",$B$6:$B$214,0)),INDEX($L$6:$L$214,MATCH("198",$B$6:$B$214,0)),INDEX($L$6:$L$214,MATCH("199",$B$6:$B$214,0)))=4,INDEX($K$6:$K$214,MATCH("197",$B$6:$B$214,0))+14*INDEX($L$6:$L$214,MATCH("197",$B$6:$B$214,0))+15*INDEX($L$6:$L$214,MATCH("198",$B$6:$B$214,0))+70*INDEX($L$6:$L$214,MATCH("199",$B$6:$B$214,0)),"")</f>
        <v>1750</v>
      </c>
      <c r="Q190" s="9">
        <f>IF(COUNT(O190:P190)=2,O190*10+P190,"")</f>
        <v>5880</v>
      </c>
    </row>
    <row r="191" spans="2:17" ht="21.95" customHeight="1" x14ac:dyDescent="0.2">
      <c r="B191" s="4" t="s">
        <v>144</v>
      </c>
      <c r="C191" s="4" t="s">
        <v>145</v>
      </c>
      <c r="D191" s="4" t="s">
        <v>26</v>
      </c>
      <c r="E191" s="4" t="s">
        <v>38</v>
      </c>
      <c r="F191" s="4" t="s">
        <v>31</v>
      </c>
      <c r="G191" s="4" t="s">
        <v>32</v>
      </c>
      <c r="H191" s="4" t="s">
        <v>40</v>
      </c>
      <c r="I191" s="4" t="s">
        <v>31</v>
      </c>
      <c r="J191" s="4">
        <v>2</v>
      </c>
      <c r="K191" s="4" t="s">
        <v>31</v>
      </c>
      <c r="L191" s="4">
        <v>10</v>
      </c>
      <c r="M191" s="4" t="s">
        <v>31</v>
      </c>
      <c r="N191" s="4">
        <v>5</v>
      </c>
      <c r="O191" s="9">
        <f>IF(COUNT(INDEX($I$6:$I$214,MATCH("197",$B$6:$B$214,0)),INDEX($J$6:$J$214,MATCH("197",$B$6:$B$214,0)),INDEX($J$6:$J$214,MATCH("198",$B$6:$B$214,0)),INDEX($J$6:$J$214,MATCH("199",$B$6:$B$214,0)))=4,INDEX($I$6:$I$214,MATCH("197",$B$6:$B$214,0))+14*INDEX($J$6:$J$214,MATCH("197",$B$6:$B$214,0))+15*INDEX($J$6:$J$214,MATCH("198",$B$6:$B$214,0))+70*INDEX($J$6:$J$214,MATCH("199",$B$6:$B$214,0)),"")</f>
        <v>413</v>
      </c>
      <c r="P191" s="9">
        <f>IF(COUNT(INDEX($K$6:$K$214,MATCH("197",$B$6:$B$214,0)),INDEX($L$6:$L$214,MATCH("197",$B$6:$B$214,0)),INDEX($L$6:$L$214,MATCH("198",$B$6:$B$214,0)),INDEX($L$6:$L$214,MATCH("199",$B$6:$B$214,0)))=4,INDEX($K$6:$K$214,MATCH("197",$B$6:$B$214,0))+14*INDEX($L$6:$L$214,MATCH("197",$B$6:$B$214,0))+15*INDEX($L$6:$L$214,MATCH("198",$B$6:$B$214,0))+70*INDEX($L$6:$L$214,MATCH("199",$B$6:$B$214,0)),"")</f>
        <v>1750</v>
      </c>
      <c r="Q191" s="9">
        <f>IF(COUNT(O191:P191)=2,O191*10+P191,"")</f>
        <v>5880</v>
      </c>
    </row>
    <row r="192" spans="2:17" ht="21.95" customHeight="1" x14ac:dyDescent="0.2">
      <c r="B192" s="4" t="s">
        <v>146</v>
      </c>
      <c r="C192" s="4" t="s">
        <v>147</v>
      </c>
      <c r="D192" s="4" t="s">
        <v>26</v>
      </c>
      <c r="E192" s="4" t="s">
        <v>38</v>
      </c>
      <c r="F192" s="4" t="s">
        <v>31</v>
      </c>
      <c r="G192" s="4" t="s">
        <v>35</v>
      </c>
      <c r="H192" s="4" t="s">
        <v>40</v>
      </c>
      <c r="I192" s="4" t="s">
        <v>31</v>
      </c>
      <c r="J192" s="4">
        <v>5</v>
      </c>
      <c r="K192" s="4" t="s">
        <v>31</v>
      </c>
      <c r="L192" s="4">
        <v>20</v>
      </c>
      <c r="M192" s="4" t="s">
        <v>31</v>
      </c>
      <c r="N192" s="4">
        <v>4</v>
      </c>
      <c r="O192" s="9">
        <f>IF(COUNT(INDEX($I$6:$I$214,MATCH("197",$B$6:$B$214,0)),INDEX($J$6:$J$214,MATCH("197",$B$6:$B$214,0)),INDEX($J$6:$J$214,MATCH("198",$B$6:$B$214,0)),INDEX($J$6:$J$214,MATCH("199",$B$6:$B$214,0)))=4,INDEX($I$6:$I$214,MATCH("197",$B$6:$B$214,0))+14*INDEX($J$6:$J$214,MATCH("197",$B$6:$B$214,0))+15*INDEX($J$6:$J$214,MATCH("198",$B$6:$B$214,0))+70*INDEX($J$6:$J$214,MATCH("199",$B$6:$B$214,0)),"")</f>
        <v>413</v>
      </c>
      <c r="P192" s="9">
        <f>IF(COUNT(INDEX($K$6:$K$214,MATCH("197",$B$6:$B$214,0)),INDEX($L$6:$L$214,MATCH("197",$B$6:$B$214,0)),INDEX($L$6:$L$214,MATCH("198",$B$6:$B$214,0)),INDEX($L$6:$L$214,MATCH("199",$B$6:$B$214,0)))=4,INDEX($K$6:$K$214,MATCH("197",$B$6:$B$214,0))+14*INDEX($L$6:$L$214,MATCH("197",$B$6:$B$214,0))+15*INDEX($L$6:$L$214,MATCH("198",$B$6:$B$214,0))+70*INDEX($L$6:$L$214,MATCH("199",$B$6:$B$214,0)),"")</f>
        <v>1750</v>
      </c>
      <c r="Q192" s="9">
        <f>IF(COUNT(O192:P192)=2,O192*10+P192,"")</f>
        <v>5880</v>
      </c>
    </row>
    <row r="193" spans="2:17" ht="21.95" customHeight="1" x14ac:dyDescent="0.2">
      <c r="B193" s="4" t="s">
        <v>269</v>
      </c>
      <c r="C193" s="4" t="s">
        <v>270</v>
      </c>
      <c r="D193" s="4" t="s">
        <v>26</v>
      </c>
      <c r="E193" s="4" t="s">
        <v>38</v>
      </c>
      <c r="F193" s="4" t="s">
        <v>39</v>
      </c>
      <c r="G193" s="4" t="s">
        <v>22</v>
      </c>
      <c r="H193" s="4" t="s">
        <v>40</v>
      </c>
      <c r="I193" s="4">
        <v>2</v>
      </c>
      <c r="J193" s="4">
        <v>3</v>
      </c>
      <c r="K193" s="4">
        <v>70</v>
      </c>
      <c r="L193" s="4">
        <v>20</v>
      </c>
      <c r="M193" s="4">
        <v>3</v>
      </c>
      <c r="N193" s="4">
        <v>1</v>
      </c>
      <c r="O193" s="9">
        <f>IF(COUNT(INDEX($I$6:$I$214,MATCH("200",$B$6:$B$214,0)),INDEX($J$6:$J$214,MATCH("200",$B$6:$B$214,0)),INDEX($J$6:$J$214,MATCH("201",$B$6:$B$214,0)))=3,INDEX($I$6:$I$214,MATCH("200",$B$6:$B$214,0))+14*INDEX($J$6:$J$214,MATCH("200",$B$6:$B$214,0))+15*INDEX($J$6:$J$214,MATCH("201",$B$6:$B$214,0))+70*INDEX($J$6:$J$214,MATCH("201",$B$6:$B$214,0)),"")</f>
        <v>384</v>
      </c>
      <c r="P193" s="9">
        <f>IF(COUNT(INDEX($K$6:$K$214,MATCH("200",$B$6:$B$214,0)),INDEX($L$6:$L$214,MATCH("200",$B$6:$B$214,0)),INDEX($L$6:$L$214,MATCH("201",$B$6:$B$214,0)))=3,INDEX($K$6:$K$214,MATCH("200",$B$6:$B$214,0))+14*INDEX($L$6:$L$214,MATCH("200",$B$6:$B$214,0))+15*INDEX($L$6:$L$214,MATCH("201",$B$6:$B$214,0))+70*INDEX($L$6:$L$214,MATCH("201",$B$6:$B$214,0)),"")</f>
        <v>2050</v>
      </c>
      <c r="Q193" s="9">
        <f>IF(COUNT(O193:P193)=2,O193*10+P193,"")</f>
        <v>5890</v>
      </c>
    </row>
    <row r="194" spans="2:17" ht="21.95" customHeight="1" x14ac:dyDescent="0.2">
      <c r="B194" s="4" t="s">
        <v>271</v>
      </c>
      <c r="C194" s="4" t="s">
        <v>272</v>
      </c>
      <c r="D194" s="4" t="s">
        <v>26</v>
      </c>
      <c r="E194" s="4" t="s">
        <v>38</v>
      </c>
      <c r="F194" s="4" t="s">
        <v>31</v>
      </c>
      <c r="G194" s="4" t="s">
        <v>32</v>
      </c>
      <c r="H194" s="4" t="s">
        <v>40</v>
      </c>
      <c r="I194" s="4" t="s">
        <v>31</v>
      </c>
      <c r="J194" s="4">
        <v>4</v>
      </c>
      <c r="K194" s="4" t="s">
        <v>31</v>
      </c>
      <c r="L194" s="4">
        <v>20</v>
      </c>
      <c r="M194" s="4" t="s">
        <v>31</v>
      </c>
      <c r="N194" s="4">
        <v>2</v>
      </c>
      <c r="O194" s="9">
        <f>IF(COUNT(INDEX($I$6:$I$214,MATCH("200",$B$6:$B$214,0)),INDEX($J$6:$J$214,MATCH("200",$B$6:$B$214,0)),INDEX($J$6:$J$214,MATCH("201",$B$6:$B$214,0)))=3,INDEX($I$6:$I$214,MATCH("200",$B$6:$B$214,0))+14*INDEX($J$6:$J$214,MATCH("200",$B$6:$B$214,0))+15*INDEX($J$6:$J$214,MATCH("201",$B$6:$B$214,0))+70*INDEX($J$6:$J$214,MATCH("201",$B$6:$B$214,0)),"")</f>
        <v>384</v>
      </c>
      <c r="P194" s="9">
        <f>IF(COUNT(INDEX($K$6:$K$214,MATCH("200",$B$6:$B$214,0)),INDEX($L$6:$L$214,MATCH("200",$B$6:$B$214,0)),INDEX($L$6:$L$214,MATCH("201",$B$6:$B$214,0)))=3,INDEX($K$6:$K$214,MATCH("200",$B$6:$B$214,0))+14*INDEX($L$6:$L$214,MATCH("200",$B$6:$B$214,0))+15*INDEX($L$6:$L$214,MATCH("201",$B$6:$B$214,0))+70*INDEX($L$6:$L$214,MATCH("201",$B$6:$B$214,0)),"")</f>
        <v>2050</v>
      </c>
      <c r="Q194" s="9">
        <f>IF(COUNT(O194:P194)=2,O194*10+P194,"")</f>
        <v>5890</v>
      </c>
    </row>
    <row r="195" spans="2:17" ht="21.95" customHeight="1" x14ac:dyDescent="0.2">
      <c r="B195" s="4" t="s">
        <v>419</v>
      </c>
      <c r="C195" s="4" t="s">
        <v>420</v>
      </c>
      <c r="D195" s="4" t="s">
        <v>26</v>
      </c>
      <c r="E195" s="4" t="s">
        <v>38</v>
      </c>
      <c r="F195" s="4" t="s">
        <v>39</v>
      </c>
      <c r="G195" s="4" t="s">
        <v>22</v>
      </c>
      <c r="H195" s="4" t="s">
        <v>23</v>
      </c>
      <c r="I195" s="4">
        <v>2</v>
      </c>
      <c r="J195" s="4">
        <v>2</v>
      </c>
      <c r="K195" s="4">
        <v>110</v>
      </c>
      <c r="L195" s="4">
        <v>20</v>
      </c>
      <c r="M195" s="4">
        <v>2</v>
      </c>
      <c r="N195" s="4">
        <v>5</v>
      </c>
      <c r="O195" s="9">
        <f>IF(COUNT(INDEX($I$6:$I$214,MATCH("202",$B$6:$B$214,0)),INDEX($J$6:$J$214,MATCH("202",$B$6:$B$214,0)),INDEX($J$6:$J$214,MATCH("203",$B$6:$B$214,0)))=3,INDEX($I$6:$I$214,MATCH("202",$B$6:$B$214,0))+14*INDEX($J$6:$J$214,MATCH("202",$B$6:$B$214,0))+15*INDEX($J$6:$J$214,MATCH("203",$B$6:$B$214,0))+70*INDEX($J$6:$J$214,MATCH("203",$B$6:$B$214,0)),"")</f>
        <v>200</v>
      </c>
      <c r="P195" s="9">
        <f>IF(COUNT(INDEX($K$6:$K$214,MATCH("202",$B$6:$B$214,0)),INDEX($L$6:$L$214,MATCH("202",$B$6:$B$214,0)),INDEX($L$6:$L$214,MATCH("203",$B$6:$B$214,0)))=3,INDEX($K$6:$K$214,MATCH("202",$B$6:$B$214,0))+14*INDEX($L$6:$L$214,MATCH("202",$B$6:$B$214,0))+15*INDEX($L$6:$L$214,MATCH("203",$B$6:$B$214,0))+70*INDEX($L$6:$L$214,MATCH("203",$B$6:$B$214,0)),"")</f>
        <v>2940</v>
      </c>
      <c r="Q195" s="9">
        <f>IF(COUNT(O195:P195)=2,O195*10+P195,"")</f>
        <v>4940</v>
      </c>
    </row>
    <row r="196" spans="2:17" ht="21.95" customHeight="1" x14ac:dyDescent="0.2">
      <c r="B196" s="4" t="s">
        <v>421</v>
      </c>
      <c r="C196" s="4" t="s">
        <v>422</v>
      </c>
      <c r="D196" s="4" t="s">
        <v>26</v>
      </c>
      <c r="E196" s="4" t="s">
        <v>38</v>
      </c>
      <c r="F196" s="4" t="s">
        <v>31</v>
      </c>
      <c r="G196" s="4" t="s">
        <v>32</v>
      </c>
      <c r="H196" s="4" t="s">
        <v>23</v>
      </c>
      <c r="I196" s="4" t="s">
        <v>31</v>
      </c>
      <c r="J196" s="4">
        <v>2</v>
      </c>
      <c r="K196" s="4" t="s">
        <v>31</v>
      </c>
      <c r="L196" s="4">
        <v>30</v>
      </c>
      <c r="M196" s="4" t="s">
        <v>31</v>
      </c>
      <c r="N196" s="4">
        <v>6</v>
      </c>
      <c r="O196" s="9">
        <f>IF(COUNT(INDEX($I$6:$I$214,MATCH("202",$B$6:$B$214,0)),INDEX($J$6:$J$214,MATCH("202",$B$6:$B$214,0)),INDEX($J$6:$J$214,MATCH("203",$B$6:$B$214,0)))=3,INDEX($I$6:$I$214,MATCH("202",$B$6:$B$214,0))+14*INDEX($J$6:$J$214,MATCH("202",$B$6:$B$214,0))+15*INDEX($J$6:$J$214,MATCH("203",$B$6:$B$214,0))+70*INDEX($J$6:$J$214,MATCH("203",$B$6:$B$214,0)),"")</f>
        <v>200</v>
      </c>
      <c r="P196" s="9">
        <f>IF(COUNT(INDEX($K$6:$K$214,MATCH("202",$B$6:$B$214,0)),INDEX($L$6:$L$214,MATCH("202",$B$6:$B$214,0)),INDEX($L$6:$L$214,MATCH("203",$B$6:$B$214,0)))=3,INDEX($K$6:$K$214,MATCH("202",$B$6:$B$214,0))+14*INDEX($L$6:$L$214,MATCH("202",$B$6:$B$214,0))+15*INDEX($L$6:$L$214,MATCH("203",$B$6:$B$214,0))+70*INDEX($L$6:$L$214,MATCH("203",$B$6:$B$214,0)),"")</f>
        <v>2940</v>
      </c>
      <c r="Q196" s="9">
        <f>IF(COUNT(O196:P196)=2,O196*10+P196,"")</f>
        <v>4940</v>
      </c>
    </row>
    <row r="197" spans="2:17" ht="21.95" customHeight="1" x14ac:dyDescent="0.2">
      <c r="B197" s="4" t="s">
        <v>417</v>
      </c>
      <c r="C197" s="4" t="s">
        <v>418</v>
      </c>
      <c r="D197" s="4" t="s">
        <v>26</v>
      </c>
      <c r="E197" s="4" t="s">
        <v>38</v>
      </c>
      <c r="F197" s="4" t="s">
        <v>39</v>
      </c>
      <c r="G197" s="4" t="s">
        <v>22</v>
      </c>
      <c r="H197" s="4" t="s">
        <v>40</v>
      </c>
      <c r="I197" s="4">
        <v>4</v>
      </c>
      <c r="J197" s="4">
        <v>3</v>
      </c>
      <c r="K197" s="4">
        <v>60</v>
      </c>
      <c r="L197" s="4">
        <v>20</v>
      </c>
      <c r="M197" s="4">
        <v>2</v>
      </c>
      <c r="N197" s="4">
        <v>2</v>
      </c>
      <c r="O197" s="9">
        <f>IF(COUNT(INDEX($I$6:$I$214,MATCH("204",$B$6:$B$214,0)),INDEX($J$6:$J$214,MATCH("204",$B$6:$B$214,0)))=2,INDEX($I$6:$I$214,MATCH("204",$B$6:$B$214,0))+14*INDEX($J$6:$J$214,MATCH("204",$B$6:$B$214,0))+15*INDEX($J$6:$J$214,MATCH("204",$B$6:$B$214,0))+70*INDEX($J$6:$J$214,MATCH("204",$B$6:$B$214,0)),"")</f>
        <v>301</v>
      </c>
      <c r="P197" s="9">
        <f>IF(COUNT(INDEX($K$6:$K$214,MATCH("204",$B$6:$B$214,0)),INDEX($L$6:$L$214,MATCH("204",$B$6:$B$214,0)))=2,INDEX($K$6:$K$214,MATCH("204",$B$6:$B$214,0))+14*INDEX($L$6:$L$214,MATCH("204",$B$6:$B$214,0))+15*INDEX($L$6:$L$214,MATCH("204",$B$6:$B$214,0))+70*INDEX($L$6:$L$214,MATCH("204",$B$6:$B$214,0)),"")</f>
        <v>2040</v>
      </c>
      <c r="Q197" s="9">
        <f>IF(COUNT(O197:P197)=2,O197*10+P197,"")</f>
        <v>5050</v>
      </c>
    </row>
    <row r="198" spans="2:17" ht="21.95" customHeight="1" x14ac:dyDescent="0.2">
      <c r="B198" s="4" t="s">
        <v>401</v>
      </c>
      <c r="C198" s="4" t="s">
        <v>402</v>
      </c>
      <c r="D198" s="4" t="s">
        <v>26</v>
      </c>
      <c r="E198" s="4" t="s">
        <v>38</v>
      </c>
      <c r="F198" s="4" t="s">
        <v>39</v>
      </c>
      <c r="G198" s="4" t="s">
        <v>22</v>
      </c>
      <c r="H198" s="4" t="s">
        <v>40</v>
      </c>
      <c r="I198" s="4">
        <v>5</v>
      </c>
      <c r="J198" s="4">
        <v>2</v>
      </c>
      <c r="K198" s="4">
        <v>90</v>
      </c>
      <c r="L198" s="4">
        <v>30</v>
      </c>
      <c r="M198" s="4">
        <v>2</v>
      </c>
      <c r="N198" s="4">
        <v>2</v>
      </c>
      <c r="O198" s="9">
        <f>IF(COUNT(INDEX($I$6:$I$214,MATCH("205",$B$6:$B$214,0)),INDEX($J$6:$J$214,MATCH("205",$B$6:$B$214,0)))=2,INDEX($I$6:$I$214,MATCH("205",$B$6:$B$214,0))+14*INDEX($J$6:$J$214,MATCH("205",$B$6:$B$214,0))+15*INDEX($J$6:$J$214,MATCH("205",$B$6:$B$214,0))+70*INDEX($J$6:$J$214,MATCH("205",$B$6:$B$214,0)),"")</f>
        <v>203</v>
      </c>
      <c r="P198" s="9">
        <f>IF(COUNT(INDEX($K$6:$K$214,MATCH("205",$B$6:$B$214,0)),INDEX($L$6:$L$214,MATCH("205",$B$6:$B$214,0)))=2,INDEX($K$6:$K$214,MATCH("205",$B$6:$B$214,0))+14*INDEX($L$6:$L$214,MATCH("205",$B$6:$B$214,0))+15*INDEX($L$6:$L$214,MATCH("205",$B$6:$B$214,0))+70*INDEX($L$6:$L$214,MATCH("205",$B$6:$B$214,0)),"")</f>
        <v>3060</v>
      </c>
      <c r="Q198" s="9">
        <f>IF(COUNT(O198:P198)=2,O198*10+P198,"")</f>
        <v>5090</v>
      </c>
    </row>
    <row r="199" spans="2:17" ht="21.95" customHeight="1" x14ac:dyDescent="0.2">
      <c r="B199" s="4" t="s">
        <v>273</v>
      </c>
      <c r="C199" s="4" t="s">
        <v>274</v>
      </c>
      <c r="D199" s="4" t="s">
        <v>26</v>
      </c>
      <c r="E199" s="4" t="s">
        <v>20</v>
      </c>
      <c r="F199" s="4" t="s">
        <v>21</v>
      </c>
      <c r="G199" s="4" t="s">
        <v>22</v>
      </c>
      <c r="H199" s="4" t="s">
        <v>23</v>
      </c>
      <c r="I199" s="4">
        <v>2</v>
      </c>
      <c r="J199" s="4">
        <v>3</v>
      </c>
      <c r="K199" s="4">
        <v>50</v>
      </c>
      <c r="L199" s="4">
        <v>20</v>
      </c>
      <c r="M199" s="4">
        <v>2</v>
      </c>
      <c r="N199" s="4">
        <v>1</v>
      </c>
      <c r="O199" s="9">
        <f>IF(COUNT(INDEX($I$6:$I$214,MATCH("206",$B$6:$B$214,0)),INDEX($J$6:$J$214,MATCH("206",$B$6:$B$214,0)),INDEX($J$6:$J$214,MATCH("207",$B$6:$B$214,0)))=3,INDEX($I$6:$I$214,MATCH("206",$B$6:$B$214,0))+14*INDEX($J$6:$J$214,MATCH("206",$B$6:$B$214,0))+15*INDEX($J$6:$J$214,MATCH("207",$B$6:$B$214,0))+70*INDEX($J$6:$J$214,MATCH("207",$B$6:$B$214,0)),"")</f>
        <v>384</v>
      </c>
      <c r="P199" s="9">
        <f>IF(COUNT(INDEX($K$6:$K$214,MATCH("206",$B$6:$B$214,0)),INDEX($L$6:$L$214,MATCH("206",$B$6:$B$214,0)),INDEX($L$6:$L$214,MATCH("207",$B$6:$B$214,0)))=3,INDEX($K$6:$K$214,MATCH("206",$B$6:$B$214,0))+14*INDEX($L$6:$L$214,MATCH("206",$B$6:$B$214,0))+15*INDEX($L$6:$L$214,MATCH("207",$B$6:$B$214,0))+70*INDEX($L$6:$L$214,MATCH("207",$B$6:$B$214,0)),"")</f>
        <v>2880</v>
      </c>
      <c r="Q199" s="9">
        <f>IF(COUNT(O199:P199)=2,O199*10+P199,"")</f>
        <v>6720</v>
      </c>
    </row>
    <row r="200" spans="2:17" ht="21.95" customHeight="1" x14ac:dyDescent="0.2">
      <c r="B200" s="4" t="s">
        <v>275</v>
      </c>
      <c r="C200" s="4" t="s">
        <v>276</v>
      </c>
      <c r="D200" s="4" t="s">
        <v>26</v>
      </c>
      <c r="E200" s="4" t="s">
        <v>20</v>
      </c>
      <c r="F200" s="4" t="s">
        <v>31</v>
      </c>
      <c r="G200" s="4" t="s">
        <v>32</v>
      </c>
      <c r="H200" s="4" t="s">
        <v>23</v>
      </c>
      <c r="I200" s="4" t="s">
        <v>31</v>
      </c>
      <c r="J200" s="4">
        <v>4</v>
      </c>
      <c r="K200" s="4" t="s">
        <v>31</v>
      </c>
      <c r="L200" s="4">
        <v>30</v>
      </c>
      <c r="M200" s="4" t="s">
        <v>31</v>
      </c>
      <c r="N200" s="4">
        <v>2</v>
      </c>
      <c r="O200" s="9">
        <f>IF(COUNT(INDEX($I$6:$I$214,MATCH("206",$B$6:$B$214,0)),INDEX($J$6:$J$214,MATCH("206",$B$6:$B$214,0)),INDEX($J$6:$J$214,MATCH("207",$B$6:$B$214,0)))=3,INDEX($I$6:$I$214,MATCH("206",$B$6:$B$214,0))+14*INDEX($J$6:$J$214,MATCH("206",$B$6:$B$214,0))+15*INDEX($J$6:$J$214,MATCH("207",$B$6:$B$214,0))+70*INDEX($J$6:$J$214,MATCH("207",$B$6:$B$214,0)),"")</f>
        <v>384</v>
      </c>
      <c r="P200" s="9">
        <f>IF(COUNT(INDEX($K$6:$K$214,MATCH("206",$B$6:$B$214,0)),INDEX($L$6:$L$214,MATCH("206",$B$6:$B$214,0)),INDEX($L$6:$L$214,MATCH("207",$B$6:$B$214,0)))=3,INDEX($K$6:$K$214,MATCH("206",$B$6:$B$214,0))+14*INDEX($L$6:$L$214,MATCH("206",$B$6:$B$214,0))+15*INDEX($L$6:$L$214,MATCH("207",$B$6:$B$214,0))+70*INDEX($L$6:$L$214,MATCH("207",$B$6:$B$214,0)),"")</f>
        <v>2880</v>
      </c>
      <c r="Q200" s="9">
        <f>IF(COUNT(O200:P200)=2,O200*10+P200,"")</f>
        <v>6720</v>
      </c>
    </row>
    <row r="201" spans="2:17" ht="21.95" customHeight="1" x14ac:dyDescent="0.2">
      <c r="B201" s="4" t="s">
        <v>219</v>
      </c>
      <c r="C201" s="4" t="s">
        <v>220</v>
      </c>
      <c r="D201" s="4" t="s">
        <v>26</v>
      </c>
      <c r="E201" s="4" t="s">
        <v>20</v>
      </c>
      <c r="F201" s="4" t="s">
        <v>21</v>
      </c>
      <c r="G201" s="4" t="s">
        <v>22</v>
      </c>
      <c r="H201" s="4" t="s">
        <v>23</v>
      </c>
      <c r="I201" s="4">
        <v>2</v>
      </c>
      <c r="J201" s="4">
        <v>3</v>
      </c>
      <c r="K201" s="4">
        <v>60</v>
      </c>
      <c r="L201" s="4">
        <v>10</v>
      </c>
      <c r="M201" s="4">
        <v>9</v>
      </c>
      <c r="N201" s="4">
        <v>4</v>
      </c>
      <c r="O201" s="9">
        <f>IF(COUNT(INDEX($I$6:$I$214,MATCH("208",$B$6:$B$214,0)),INDEX($J$6:$J$214,MATCH("208",$B$6:$B$214,0)),INDEX($J$6:$J$214,MATCH("209",$B$6:$B$214,0)),INDEX($J$6:$J$214,MATCH("210",$B$6:$B$214,0)))=4,INDEX($I$6:$I$214,MATCH("208",$B$6:$B$214,0))+14*INDEX($J$6:$J$214,MATCH("208",$B$6:$B$214,0))+15*INDEX($J$6:$J$214,MATCH("209",$B$6:$B$214,0))+70*INDEX($J$6:$J$214,MATCH("210",$B$6:$B$214,0)),"")</f>
        <v>384</v>
      </c>
      <c r="P201" s="9">
        <f>IF(COUNT(INDEX($K$6:$K$214,MATCH("208",$B$6:$B$214,0)),INDEX($L$6:$L$214,MATCH("208",$B$6:$B$214,0)),INDEX($L$6:$L$214,MATCH("209",$B$6:$B$214,0)),INDEX($L$6:$L$214,MATCH("210",$B$6:$B$214,0)))=4,INDEX($K$6:$K$214,MATCH("208",$B$6:$B$214,0))+14*INDEX($L$6:$L$214,MATCH("208",$B$6:$B$214,0))+15*INDEX($L$6:$L$214,MATCH("209",$B$6:$B$214,0))+70*INDEX($L$6:$L$214,MATCH("210",$B$6:$B$214,0)),"")</f>
        <v>2600</v>
      </c>
      <c r="Q201" s="9">
        <f>IF(COUNT(O201:P201)=2,O201*10+P201,"")</f>
        <v>6440</v>
      </c>
    </row>
    <row r="202" spans="2:17" ht="21.95" customHeight="1" x14ac:dyDescent="0.2">
      <c r="B202" s="4" t="s">
        <v>221</v>
      </c>
      <c r="C202" s="4" t="s">
        <v>222</v>
      </c>
      <c r="D202" s="4" t="s">
        <v>26</v>
      </c>
      <c r="E202" s="4" t="s">
        <v>20</v>
      </c>
      <c r="F202" s="4" t="s">
        <v>31</v>
      </c>
      <c r="G202" s="4" t="s">
        <v>32</v>
      </c>
      <c r="H202" s="4" t="s">
        <v>23</v>
      </c>
      <c r="I202" s="4" t="s">
        <v>31</v>
      </c>
      <c r="J202" s="4">
        <v>4</v>
      </c>
      <c r="K202" s="4" t="s">
        <v>31</v>
      </c>
      <c r="L202" s="4">
        <v>20</v>
      </c>
      <c r="M202" s="4" t="s">
        <v>31</v>
      </c>
      <c r="N202" s="4">
        <v>5</v>
      </c>
      <c r="O202" s="9">
        <f>IF(COUNT(INDEX($I$6:$I$214,MATCH("208",$B$6:$B$214,0)),INDEX($J$6:$J$214,MATCH("208",$B$6:$B$214,0)),INDEX($J$6:$J$214,MATCH("209",$B$6:$B$214,0)),INDEX($J$6:$J$214,MATCH("210",$B$6:$B$214,0)))=4,INDEX($I$6:$I$214,MATCH("208",$B$6:$B$214,0))+14*INDEX($J$6:$J$214,MATCH("208",$B$6:$B$214,0))+15*INDEX($J$6:$J$214,MATCH("209",$B$6:$B$214,0))+70*INDEX($J$6:$J$214,MATCH("210",$B$6:$B$214,0)),"")</f>
        <v>384</v>
      </c>
      <c r="P202" s="9">
        <f>IF(COUNT(INDEX($K$6:$K$214,MATCH("208",$B$6:$B$214,0)),INDEX($L$6:$L$214,MATCH("208",$B$6:$B$214,0)),INDEX($L$6:$L$214,MATCH("209",$B$6:$B$214,0)),INDEX($L$6:$L$214,MATCH("210",$B$6:$B$214,0)))=4,INDEX($K$6:$K$214,MATCH("208",$B$6:$B$214,0))+14*INDEX($L$6:$L$214,MATCH("208",$B$6:$B$214,0))+15*INDEX($L$6:$L$214,MATCH("209",$B$6:$B$214,0))+70*INDEX($L$6:$L$214,MATCH("210",$B$6:$B$214,0)),"")</f>
        <v>2600</v>
      </c>
      <c r="Q202" s="9">
        <f>IF(COUNT(O202:P202)=2,O202*10+P202,"")</f>
        <v>6440</v>
      </c>
    </row>
    <row r="203" spans="2:17" ht="21.95" customHeight="1" x14ac:dyDescent="0.2">
      <c r="B203" s="4" t="s">
        <v>223</v>
      </c>
      <c r="C203" s="4" t="s">
        <v>224</v>
      </c>
      <c r="D203" s="4" t="s">
        <v>26</v>
      </c>
      <c r="E203" s="4" t="s">
        <v>20</v>
      </c>
      <c r="F203" s="4" t="s">
        <v>31</v>
      </c>
      <c r="G203" s="4" t="s">
        <v>35</v>
      </c>
      <c r="H203" s="4" t="s">
        <v>23</v>
      </c>
      <c r="I203" s="4" t="s">
        <v>31</v>
      </c>
      <c r="J203" s="4">
        <v>4</v>
      </c>
      <c r="K203" s="4" t="s">
        <v>31</v>
      </c>
      <c r="L203" s="4">
        <v>30</v>
      </c>
      <c r="M203" s="4" t="s">
        <v>31</v>
      </c>
      <c r="N203" s="4">
        <v>5</v>
      </c>
      <c r="O203" s="9">
        <f>IF(COUNT(INDEX($I$6:$I$214,MATCH("208",$B$6:$B$214,0)),INDEX($J$6:$J$214,MATCH("208",$B$6:$B$214,0)),INDEX($J$6:$J$214,MATCH("209",$B$6:$B$214,0)),INDEX($J$6:$J$214,MATCH("210",$B$6:$B$214,0)))=4,INDEX($I$6:$I$214,MATCH("208",$B$6:$B$214,0))+14*INDEX($J$6:$J$214,MATCH("208",$B$6:$B$214,0))+15*INDEX($J$6:$J$214,MATCH("209",$B$6:$B$214,0))+70*INDEX($J$6:$J$214,MATCH("210",$B$6:$B$214,0)),"")</f>
        <v>384</v>
      </c>
      <c r="P203" s="9">
        <f>IF(COUNT(INDEX($K$6:$K$214,MATCH("208",$B$6:$B$214,0)),INDEX($L$6:$L$214,MATCH("208",$B$6:$B$214,0)),INDEX($L$6:$L$214,MATCH("209",$B$6:$B$214,0)),INDEX($L$6:$L$214,MATCH("210",$B$6:$B$214,0)))=4,INDEX($K$6:$K$214,MATCH("208",$B$6:$B$214,0))+14*INDEX($L$6:$L$214,MATCH("208",$B$6:$B$214,0))+15*INDEX($L$6:$L$214,MATCH("209",$B$6:$B$214,0))+70*INDEX($L$6:$L$214,MATCH("210",$B$6:$B$214,0)),"")</f>
        <v>2600</v>
      </c>
      <c r="Q203" s="9">
        <f>IF(COUNT(O203:P203)=2,O203*10+P203,"")</f>
        <v>6440</v>
      </c>
    </row>
    <row r="204" spans="2:17" ht="21.95" customHeight="1" x14ac:dyDescent="0.2">
      <c r="B204" s="4" t="s">
        <v>265</v>
      </c>
      <c r="C204" s="4" t="s">
        <v>266</v>
      </c>
      <c r="D204" s="4" t="s">
        <v>26</v>
      </c>
      <c r="E204" s="4" t="s">
        <v>20</v>
      </c>
      <c r="F204" s="4" t="s">
        <v>21</v>
      </c>
      <c r="G204" s="4" t="s">
        <v>22</v>
      </c>
      <c r="H204" s="4" t="s">
        <v>23</v>
      </c>
      <c r="I204" s="4">
        <v>2</v>
      </c>
      <c r="J204" s="4">
        <v>1</v>
      </c>
      <c r="K204" s="4">
        <v>110</v>
      </c>
      <c r="L204" s="4">
        <v>40</v>
      </c>
      <c r="M204" s="4">
        <v>2</v>
      </c>
      <c r="N204" s="4">
        <v>1</v>
      </c>
      <c r="O204" s="9">
        <f>IF(COUNT(INDEX($I$6:$I$214,MATCH("211",$B$6:$B$214,0)),INDEX($J$6:$J$214,MATCH("211",$B$6:$B$214,0)),INDEX($J$6:$J$214,MATCH("212",$B$6:$B$214,0)))=3,INDEX($I$6:$I$214,MATCH("211",$B$6:$B$214,0))+14*INDEX($J$6:$J$214,MATCH("211",$B$6:$B$214,0))+15*INDEX($J$6:$J$214,MATCH("212",$B$6:$B$214,0))+70*INDEX($J$6:$J$214,MATCH("212",$B$6:$B$214,0)),"")</f>
        <v>186</v>
      </c>
      <c r="P204" s="9">
        <f>IF(COUNT(INDEX($K$6:$K$214,MATCH("211",$B$6:$B$214,0)),INDEX($L$6:$L$214,MATCH("211",$B$6:$B$214,0)),INDEX($L$6:$L$214,MATCH("212",$B$6:$B$214,0)))=3,INDEX($K$6:$K$214,MATCH("211",$B$6:$B$214,0))+14*INDEX($L$6:$L$214,MATCH("211",$B$6:$B$214,0))+15*INDEX($L$6:$L$214,MATCH("212",$B$6:$B$214,0))+70*INDEX($L$6:$L$214,MATCH("212",$B$6:$B$214,0)),"")</f>
        <v>4920</v>
      </c>
      <c r="Q204" s="9">
        <f>IF(COUNT(O204:P204)=2,O204*10+P204,"")</f>
        <v>6780</v>
      </c>
    </row>
    <row r="205" spans="2:17" ht="21.95" customHeight="1" x14ac:dyDescent="0.2">
      <c r="B205" s="4" t="s">
        <v>267</v>
      </c>
      <c r="C205" s="4" t="s">
        <v>268</v>
      </c>
      <c r="D205" s="4" t="s">
        <v>26</v>
      </c>
      <c r="E205" s="4" t="s">
        <v>20</v>
      </c>
      <c r="F205" s="4" t="s">
        <v>31</v>
      </c>
      <c r="G205" s="4" t="s">
        <v>32</v>
      </c>
      <c r="H205" s="4" t="s">
        <v>23</v>
      </c>
      <c r="I205" s="4" t="s">
        <v>31</v>
      </c>
      <c r="J205" s="4">
        <v>2</v>
      </c>
      <c r="K205" s="4" t="s">
        <v>31</v>
      </c>
      <c r="L205" s="4">
        <v>50</v>
      </c>
      <c r="M205" s="4" t="s">
        <v>31</v>
      </c>
      <c r="N205" s="4">
        <v>2</v>
      </c>
      <c r="O205" s="9">
        <f>IF(COUNT(INDEX($I$6:$I$214,MATCH("211",$B$6:$B$214,0)),INDEX($J$6:$J$214,MATCH("211",$B$6:$B$214,0)),INDEX($J$6:$J$214,MATCH("212",$B$6:$B$214,0)))=3,INDEX($I$6:$I$214,MATCH("211",$B$6:$B$214,0))+14*INDEX($J$6:$J$214,MATCH("211",$B$6:$B$214,0))+15*INDEX($J$6:$J$214,MATCH("212",$B$6:$B$214,0))+70*INDEX($J$6:$J$214,MATCH("212",$B$6:$B$214,0)),"")</f>
        <v>186</v>
      </c>
      <c r="P205" s="9">
        <f>IF(COUNT(INDEX($K$6:$K$214,MATCH("211",$B$6:$B$214,0)),INDEX($L$6:$L$214,MATCH("211",$B$6:$B$214,0)),INDEX($L$6:$L$214,MATCH("212",$B$6:$B$214,0)))=3,INDEX($K$6:$K$214,MATCH("211",$B$6:$B$214,0))+14*INDEX($L$6:$L$214,MATCH("211",$B$6:$B$214,0))+15*INDEX($L$6:$L$214,MATCH("212",$B$6:$B$214,0))+70*INDEX($L$6:$L$214,MATCH("212",$B$6:$B$214,0)),"")</f>
        <v>4920</v>
      </c>
      <c r="Q205" s="9">
        <f>IF(COUNT(O205:P205)=2,O205*10+P205,"")</f>
        <v>6780</v>
      </c>
    </row>
    <row r="206" spans="2:17" ht="21.95" customHeight="1" x14ac:dyDescent="0.2">
      <c r="B206" s="4" t="s">
        <v>345</v>
      </c>
      <c r="C206" s="4" t="s">
        <v>346</v>
      </c>
      <c r="D206" s="4" t="s">
        <v>26</v>
      </c>
      <c r="E206" s="4" t="s">
        <v>20</v>
      </c>
      <c r="F206" s="4" t="s">
        <v>21</v>
      </c>
      <c r="G206" s="4" t="s">
        <v>22</v>
      </c>
      <c r="H206" s="4" t="s">
        <v>23</v>
      </c>
      <c r="I206" s="4">
        <v>5</v>
      </c>
      <c r="J206" s="4">
        <v>4</v>
      </c>
      <c r="K206" s="4">
        <v>60</v>
      </c>
      <c r="L206" s="4">
        <v>20</v>
      </c>
      <c r="M206" s="4">
        <v>9</v>
      </c>
      <c r="N206" s="4">
        <v>4</v>
      </c>
      <c r="O206" s="9">
        <f>IF(COUNT(INDEX($I$6:$I$214,MATCH("213",$B$6:$B$214,0)),INDEX($J$6:$J$214,MATCH("213",$B$6:$B$214,0)))=2,INDEX($I$6:$I$214,MATCH("213",$B$6:$B$214,0))+14*INDEX($J$6:$J$214,MATCH("213",$B$6:$B$214,0))+15*INDEX($J$6:$J$214,MATCH("213",$B$6:$B$214,0))+70*INDEX($J$6:$J$214,MATCH("213",$B$6:$B$214,0)),"")</f>
        <v>401</v>
      </c>
      <c r="P206" s="9">
        <f>IF(COUNT(INDEX($K$6:$K$214,MATCH("213",$B$6:$B$214,0)),INDEX($L$6:$L$214,MATCH("213",$B$6:$B$214,0)))=2,INDEX($K$6:$K$214,MATCH("213",$B$6:$B$214,0))+14*INDEX($L$6:$L$214,MATCH("213",$B$6:$B$214,0))+15*INDEX($L$6:$L$214,MATCH("213",$B$6:$B$214,0))+70*INDEX($L$6:$L$214,MATCH("213",$B$6:$B$214,0)),"")</f>
        <v>2040</v>
      </c>
      <c r="Q206" s="9">
        <f>IF(COUNT(O206:P206)=2,O206*10+P206,"")</f>
        <v>6050</v>
      </c>
    </row>
    <row r="207" spans="2:17" ht="21.95" customHeight="1" x14ac:dyDescent="0.2">
      <c r="B207" s="4" t="s">
        <v>24</v>
      </c>
      <c r="C207" s="4" t="s">
        <v>25</v>
      </c>
      <c r="D207" s="4" t="s">
        <v>26</v>
      </c>
      <c r="E207" s="4" t="s">
        <v>27</v>
      </c>
      <c r="F207" s="4" t="s">
        <v>28</v>
      </c>
      <c r="G207" s="4" t="s">
        <v>22</v>
      </c>
      <c r="H207" s="4" t="s">
        <v>23</v>
      </c>
      <c r="I207" s="4">
        <v>4</v>
      </c>
      <c r="J207" s="4">
        <v>1</v>
      </c>
      <c r="K207" s="4">
        <v>50</v>
      </c>
      <c r="L207" s="4">
        <v>20</v>
      </c>
      <c r="M207" s="4">
        <v>2</v>
      </c>
      <c r="N207" s="4">
        <v>1</v>
      </c>
      <c r="O207" s="9">
        <f>IF(COUNT(INDEX($I$6:$I$214,MATCH("214",$B$6:$B$214,0)),INDEX($J$6:$J$214,MATCH("214",$B$6:$B$214,0)),INDEX($J$6:$J$214,MATCH("215",$B$6:$B$214,0)),INDEX($J$6:$J$214,MATCH("216",$B$6:$B$214,0)))=4,INDEX($I$6:$I$214,MATCH("214",$B$6:$B$214,0))+14*INDEX($J$6:$J$214,MATCH("214",$B$6:$B$214,0))+15*INDEX($J$6:$J$214,MATCH("215",$B$6:$B$214,0))+70*INDEX($J$6:$J$214,MATCH("216",$B$6:$B$214,0)),"")</f>
        <v>413</v>
      </c>
      <c r="P207" s="9">
        <f>IF(COUNT(INDEX($K$6:$K$214,MATCH("214",$B$6:$B$214,0)),INDEX($L$6:$L$214,MATCH("214",$B$6:$B$214,0)),INDEX($L$6:$L$214,MATCH("215",$B$6:$B$214,0)),INDEX($L$6:$L$214,MATCH("216",$B$6:$B$214,0)))=4,INDEX($K$6:$K$214,MATCH("214",$B$6:$B$214,0))+14*INDEX($L$6:$L$214,MATCH("214",$B$6:$B$214,0))+15*INDEX($L$6:$L$214,MATCH("215",$B$6:$B$214,0))+70*INDEX($L$6:$L$214,MATCH("216",$B$6:$B$214,0)),"")</f>
        <v>3580</v>
      </c>
      <c r="Q207" s="9">
        <f>IF(COUNT(O207:P207)=2,O207*10+P207,"")</f>
        <v>7710</v>
      </c>
    </row>
    <row r="208" spans="2:17" ht="21.95" customHeight="1" x14ac:dyDescent="0.2">
      <c r="B208" s="4" t="s">
        <v>29</v>
      </c>
      <c r="C208" s="4" t="s">
        <v>30</v>
      </c>
      <c r="D208" s="4" t="s">
        <v>26</v>
      </c>
      <c r="E208" s="4" t="s">
        <v>27</v>
      </c>
      <c r="F208" s="4" t="s">
        <v>31</v>
      </c>
      <c r="G208" s="4" t="s">
        <v>32</v>
      </c>
      <c r="H208" s="4" t="s">
        <v>23</v>
      </c>
      <c r="I208" s="4" t="s">
        <v>31</v>
      </c>
      <c r="J208" s="4">
        <v>3</v>
      </c>
      <c r="K208" s="4" t="s">
        <v>31</v>
      </c>
      <c r="L208" s="4">
        <v>30</v>
      </c>
      <c r="M208" s="4" t="s">
        <v>31</v>
      </c>
      <c r="N208" s="4">
        <v>5</v>
      </c>
      <c r="O208" s="9">
        <f>IF(COUNT(INDEX($I$6:$I$214,MATCH("214",$B$6:$B$214,0)),INDEX($J$6:$J$214,MATCH("214",$B$6:$B$214,0)),INDEX($J$6:$J$214,MATCH("215",$B$6:$B$214,0)),INDEX($J$6:$J$214,MATCH("216",$B$6:$B$214,0)))=4,INDEX($I$6:$I$214,MATCH("214",$B$6:$B$214,0))+14*INDEX($J$6:$J$214,MATCH("214",$B$6:$B$214,0))+15*INDEX($J$6:$J$214,MATCH("215",$B$6:$B$214,0))+70*INDEX($J$6:$J$214,MATCH("216",$B$6:$B$214,0)),"")</f>
        <v>413</v>
      </c>
      <c r="P208" s="9">
        <f>IF(COUNT(INDEX($K$6:$K$214,MATCH("214",$B$6:$B$214,0)),INDEX($L$6:$L$214,MATCH("214",$B$6:$B$214,0)),INDEX($L$6:$L$214,MATCH("215",$B$6:$B$214,0)),INDEX($L$6:$L$214,MATCH("216",$B$6:$B$214,0)))=4,INDEX($K$6:$K$214,MATCH("214",$B$6:$B$214,0))+14*INDEX($L$6:$L$214,MATCH("214",$B$6:$B$214,0))+15*INDEX($L$6:$L$214,MATCH("215",$B$6:$B$214,0))+70*INDEX($L$6:$L$214,MATCH("216",$B$6:$B$214,0)),"")</f>
        <v>3580</v>
      </c>
      <c r="Q208" s="9">
        <f>IF(COUNT(O208:P208)=2,O208*10+P208,"")</f>
        <v>7710</v>
      </c>
    </row>
    <row r="209" spans="2:17" ht="21.95" customHeight="1" x14ac:dyDescent="0.2">
      <c r="B209" s="4" t="s">
        <v>33</v>
      </c>
      <c r="C209" s="4" t="s">
        <v>34</v>
      </c>
      <c r="D209" s="4" t="s">
        <v>26</v>
      </c>
      <c r="E209" s="4" t="s">
        <v>27</v>
      </c>
      <c r="F209" s="4" t="s">
        <v>31</v>
      </c>
      <c r="G209" s="4" t="s">
        <v>35</v>
      </c>
      <c r="H209" s="4" t="s">
        <v>23</v>
      </c>
      <c r="I209" s="4" t="s">
        <v>31</v>
      </c>
      <c r="J209" s="4">
        <v>5</v>
      </c>
      <c r="K209" s="4" t="s">
        <v>31</v>
      </c>
      <c r="L209" s="4">
        <v>40</v>
      </c>
      <c r="M209" s="4" t="s">
        <v>31</v>
      </c>
      <c r="N209" s="4">
        <v>5</v>
      </c>
      <c r="O209" s="9">
        <f>IF(COUNT(INDEX($I$6:$I$214,MATCH("214",$B$6:$B$214,0)),INDEX($J$6:$J$214,MATCH("214",$B$6:$B$214,0)),INDEX($J$6:$J$214,MATCH("215",$B$6:$B$214,0)),INDEX($J$6:$J$214,MATCH("216",$B$6:$B$214,0)))=4,INDEX($I$6:$I$214,MATCH("214",$B$6:$B$214,0))+14*INDEX($J$6:$J$214,MATCH("214",$B$6:$B$214,0))+15*INDEX($J$6:$J$214,MATCH("215",$B$6:$B$214,0))+70*INDEX($J$6:$J$214,MATCH("216",$B$6:$B$214,0)),"")</f>
        <v>413</v>
      </c>
      <c r="P209" s="9">
        <f>IF(COUNT(INDEX($K$6:$K$214,MATCH("214",$B$6:$B$214,0)),INDEX($L$6:$L$214,MATCH("214",$B$6:$B$214,0)),INDEX($L$6:$L$214,MATCH("215",$B$6:$B$214,0)),INDEX($L$6:$L$214,MATCH("216",$B$6:$B$214,0)))=4,INDEX($K$6:$K$214,MATCH("214",$B$6:$B$214,0))+14*INDEX($L$6:$L$214,MATCH("214",$B$6:$B$214,0))+15*INDEX($L$6:$L$214,MATCH("215",$B$6:$B$214,0))+70*INDEX($L$6:$L$214,MATCH("216",$B$6:$B$214,0)),"")</f>
        <v>3580</v>
      </c>
      <c r="Q209" s="9">
        <f>IF(COUNT(O209:P209)=2,O209*10+P209,"")</f>
        <v>7710</v>
      </c>
    </row>
    <row r="210" spans="2:17" ht="21.95" customHeight="1" x14ac:dyDescent="0.2">
      <c r="B210" s="4" t="s">
        <v>319</v>
      </c>
      <c r="C210" s="4" t="s">
        <v>320</v>
      </c>
      <c r="D210" s="4" t="s">
        <v>26</v>
      </c>
      <c r="E210" s="4" t="s">
        <v>27</v>
      </c>
      <c r="F210" s="4" t="s">
        <v>28</v>
      </c>
      <c r="G210" s="4" t="s">
        <v>22</v>
      </c>
      <c r="H210" s="4" t="s">
        <v>23</v>
      </c>
      <c r="I210" s="4">
        <v>2</v>
      </c>
      <c r="J210" s="4">
        <v>2</v>
      </c>
      <c r="K210" s="4">
        <v>70</v>
      </c>
      <c r="L210" s="4">
        <v>20</v>
      </c>
      <c r="M210" s="4">
        <v>2</v>
      </c>
      <c r="N210" s="4">
        <v>1</v>
      </c>
      <c r="O210" s="9">
        <f>IF(COUNT(INDEX($I$6:$I$214,MATCH("217",$B$6:$B$214,0)),INDEX($J$6:$J$214,MATCH("217",$B$6:$B$214,0)),INDEX($J$6:$J$214,MATCH("218",$B$6:$B$214,0)))=3,INDEX($I$6:$I$214,MATCH("217",$B$6:$B$214,0))+14*INDEX($J$6:$J$214,MATCH("217",$B$6:$B$214,0))+15*INDEX($J$6:$J$214,MATCH("218",$B$6:$B$214,0))+70*INDEX($J$6:$J$214,MATCH("218",$B$6:$B$214,0)),"")</f>
        <v>285</v>
      </c>
      <c r="P210" s="9">
        <f>IF(COUNT(INDEX($K$6:$K$214,MATCH("217",$B$6:$B$214,0)),INDEX($L$6:$L$214,MATCH("217",$B$6:$B$214,0)),INDEX($L$6:$L$214,MATCH("218",$B$6:$B$214,0)))=3,INDEX($K$6:$K$214,MATCH("217",$B$6:$B$214,0))+14*INDEX($L$6:$L$214,MATCH("217",$B$6:$B$214,0))+15*INDEX($L$6:$L$214,MATCH("218",$B$6:$B$214,0))+70*INDEX($L$6:$L$214,MATCH("218",$B$6:$B$214,0)),"")</f>
        <v>3750</v>
      </c>
      <c r="Q210" s="9">
        <f>IF(COUNT(O210:P210)=2,O210*10+P210,"")</f>
        <v>6600</v>
      </c>
    </row>
    <row r="211" spans="2:17" ht="21.95" customHeight="1" x14ac:dyDescent="0.2">
      <c r="B211" s="4" t="s">
        <v>321</v>
      </c>
      <c r="C211" s="4" t="s">
        <v>322</v>
      </c>
      <c r="D211" s="4" t="s">
        <v>26</v>
      </c>
      <c r="E211" s="4" t="s">
        <v>27</v>
      </c>
      <c r="F211" s="4" t="s">
        <v>31</v>
      </c>
      <c r="G211" s="4" t="s">
        <v>32</v>
      </c>
      <c r="H211" s="4" t="s">
        <v>23</v>
      </c>
      <c r="I211" s="4" t="s">
        <v>31</v>
      </c>
      <c r="J211" s="4">
        <v>3</v>
      </c>
      <c r="K211" s="4" t="s">
        <v>31</v>
      </c>
      <c r="L211" s="4">
        <v>40</v>
      </c>
      <c r="M211" s="4" t="s">
        <v>31</v>
      </c>
      <c r="N211" s="4">
        <v>6</v>
      </c>
      <c r="O211" s="9">
        <f>IF(COUNT(INDEX($I$6:$I$214,MATCH("217",$B$6:$B$214,0)),INDEX($J$6:$J$214,MATCH("217",$B$6:$B$214,0)),INDEX($J$6:$J$214,MATCH("218",$B$6:$B$214,0)))=3,INDEX($I$6:$I$214,MATCH("217",$B$6:$B$214,0))+14*INDEX($J$6:$J$214,MATCH("217",$B$6:$B$214,0))+15*INDEX($J$6:$J$214,MATCH("218",$B$6:$B$214,0))+70*INDEX($J$6:$J$214,MATCH("218",$B$6:$B$214,0)),"")</f>
        <v>285</v>
      </c>
      <c r="P211" s="9">
        <f>IF(COUNT(INDEX($K$6:$K$214,MATCH("217",$B$6:$B$214,0)),INDEX($L$6:$L$214,MATCH("217",$B$6:$B$214,0)),INDEX($L$6:$L$214,MATCH("218",$B$6:$B$214,0)))=3,INDEX($K$6:$K$214,MATCH("217",$B$6:$B$214,0))+14*INDEX($L$6:$L$214,MATCH("217",$B$6:$B$214,0))+15*INDEX($L$6:$L$214,MATCH("218",$B$6:$B$214,0))+70*INDEX($L$6:$L$214,MATCH("218",$B$6:$B$214,0)),"")</f>
        <v>3750</v>
      </c>
      <c r="Q211" s="9">
        <f>IF(COUNT(O211:P211)=2,O211*10+P211,"")</f>
        <v>6600</v>
      </c>
    </row>
    <row r="212" spans="2:17" ht="21.95" customHeight="1" x14ac:dyDescent="0.2">
      <c r="B212" s="4" t="s">
        <v>114</v>
      </c>
      <c r="C212" s="4" t="s">
        <v>115</v>
      </c>
      <c r="D212" s="4" t="s">
        <v>26</v>
      </c>
      <c r="E212" s="4" t="s">
        <v>27</v>
      </c>
      <c r="F212" s="4" t="s">
        <v>28</v>
      </c>
      <c r="G212" s="4" t="s">
        <v>22</v>
      </c>
      <c r="H212" s="4" t="s">
        <v>23</v>
      </c>
      <c r="I212" s="4">
        <v>4</v>
      </c>
      <c r="J212" s="4">
        <v>3</v>
      </c>
      <c r="K212" s="4">
        <v>50</v>
      </c>
      <c r="L212" s="4">
        <v>30</v>
      </c>
      <c r="M212" s="4">
        <v>6</v>
      </c>
      <c r="N212" s="4">
        <v>3</v>
      </c>
      <c r="O212" s="9">
        <f>IF(COUNT(INDEX($I$6:$I$214,MATCH("219",$B$6:$B$214,0)),INDEX($J$6:$J$214,MATCH("219",$B$6:$B$214,0)),INDEX($J$6:$J$214,MATCH("220",$B$6:$B$214,0)))=3,INDEX($I$6:$I$214,MATCH("219",$B$6:$B$214,0))+14*INDEX($J$6:$J$214,MATCH("219",$B$6:$B$214,0))+15*INDEX($J$6:$J$214,MATCH("220",$B$6:$B$214,0))+70*INDEX($J$6:$J$214,MATCH("220",$B$6:$B$214,0)),"")</f>
        <v>386</v>
      </c>
      <c r="P212" s="9">
        <f>IF(COUNT(INDEX($K$6:$K$214,MATCH("219",$B$6:$B$214,0)),INDEX($L$6:$L$214,MATCH("219",$B$6:$B$214,0)),INDEX($L$6:$L$214,MATCH("220",$B$6:$B$214,0)))=3,INDEX($K$6:$K$214,MATCH("219",$B$6:$B$214,0))+14*INDEX($L$6:$L$214,MATCH("219",$B$6:$B$214,0))+15*INDEX($L$6:$L$214,MATCH("220",$B$6:$B$214,0))+70*INDEX($L$6:$L$214,MATCH("220",$B$6:$B$214,0)),"")</f>
        <v>3870</v>
      </c>
      <c r="Q212" s="9">
        <f>IF(COUNT(O212:P212)=2,O212*10+P212,"")</f>
        <v>7730</v>
      </c>
    </row>
    <row r="213" spans="2:17" ht="21.95" customHeight="1" x14ac:dyDescent="0.2">
      <c r="B213" s="4" t="s">
        <v>116</v>
      </c>
      <c r="C213" s="4" t="s">
        <v>117</v>
      </c>
      <c r="D213" s="4" t="s">
        <v>26</v>
      </c>
      <c r="E213" s="4" t="s">
        <v>27</v>
      </c>
      <c r="F213" s="4" t="s">
        <v>31</v>
      </c>
      <c r="G213" s="4" t="s">
        <v>32</v>
      </c>
      <c r="H213" s="4" t="s">
        <v>23</v>
      </c>
      <c r="I213" s="4" t="s">
        <v>31</v>
      </c>
      <c r="J213" s="4">
        <v>4</v>
      </c>
      <c r="K213" s="4" t="s">
        <v>31</v>
      </c>
      <c r="L213" s="4">
        <v>40</v>
      </c>
      <c r="M213" s="4" t="s">
        <v>31</v>
      </c>
      <c r="N213" s="4">
        <v>3</v>
      </c>
      <c r="O213" s="9">
        <f>IF(COUNT(INDEX($I$6:$I$214,MATCH("219",$B$6:$B$214,0)),INDEX($J$6:$J$214,MATCH("219",$B$6:$B$214,0)),INDEX($J$6:$J$214,MATCH("220",$B$6:$B$214,0)))=3,INDEX($I$6:$I$214,MATCH("219",$B$6:$B$214,0))+14*INDEX($J$6:$J$214,MATCH("219",$B$6:$B$214,0))+15*INDEX($J$6:$J$214,MATCH("220",$B$6:$B$214,0))+70*INDEX($J$6:$J$214,MATCH("220",$B$6:$B$214,0)),"")</f>
        <v>386</v>
      </c>
      <c r="P213" s="9">
        <f>IF(COUNT(INDEX($K$6:$K$214,MATCH("219",$B$6:$B$214,0)),INDEX($L$6:$L$214,MATCH("219",$B$6:$B$214,0)),INDEX($L$6:$L$214,MATCH("220",$B$6:$B$214,0)))=3,INDEX($K$6:$K$214,MATCH("219",$B$6:$B$214,0))+14*INDEX($L$6:$L$214,MATCH("219",$B$6:$B$214,0))+15*INDEX($L$6:$L$214,MATCH("220",$B$6:$B$214,0))+70*INDEX($L$6:$L$214,MATCH("220",$B$6:$B$214,0)),"")</f>
        <v>3870</v>
      </c>
      <c r="Q213" s="9">
        <f>IF(COUNT(O213:P213)=2,O213*10+P213,"")</f>
        <v>7730</v>
      </c>
    </row>
    <row r="214" spans="2:17" ht="21.95" customHeight="1" x14ac:dyDescent="0.2">
      <c r="B214" s="4" t="s">
        <v>189</v>
      </c>
      <c r="C214" s="4" t="s">
        <v>190</v>
      </c>
      <c r="D214" s="4" t="s">
        <v>26</v>
      </c>
      <c r="E214" s="4" t="s">
        <v>27</v>
      </c>
      <c r="F214" s="4" t="s">
        <v>28</v>
      </c>
      <c r="G214" s="4" t="s">
        <v>22</v>
      </c>
      <c r="H214" s="4" t="s">
        <v>23</v>
      </c>
      <c r="I214" s="4">
        <v>5</v>
      </c>
      <c r="J214" s="4">
        <v>6</v>
      </c>
      <c r="K214" s="4">
        <v>20</v>
      </c>
      <c r="L214" s="4">
        <v>20</v>
      </c>
      <c r="M214" s="4">
        <v>9</v>
      </c>
      <c r="N214" s="4">
        <v>4</v>
      </c>
      <c r="O214" s="9">
        <f>IF(COUNT(INDEX($I$6:$I$214,MATCH("221",$B$6:$B$214,0)),INDEX($J$6:$J$214,MATCH("221",$B$6:$B$214,0)))=2,INDEX($I$6:$I$214,MATCH("221",$B$6:$B$214,0))+14*INDEX($J$6:$J$214,MATCH("221",$B$6:$B$214,0))+15*INDEX($J$6:$J$214,MATCH("221",$B$6:$B$214,0))+70*INDEX($J$6:$J$214,MATCH("221",$B$6:$B$214,0)),"")</f>
        <v>599</v>
      </c>
      <c r="P214" s="9">
        <f>IF(COUNT(INDEX($K$6:$K$214,MATCH("221",$B$6:$B$214,0)),INDEX($L$6:$L$214,MATCH("221",$B$6:$B$214,0)))=2,INDEX($K$6:$K$214,MATCH("221",$B$6:$B$214,0))+14*INDEX($L$6:$L$214,MATCH("221",$B$6:$B$214,0))+15*INDEX($L$6:$L$214,MATCH("221",$B$6:$B$214,0))+70*INDEX($L$6:$L$214,MATCH("221",$B$6:$B$214,0)),"")</f>
        <v>2000</v>
      </c>
      <c r="Q214" s="9">
        <f>IF(COUNT(O214:P214)=2,O214*10+P214,"")</f>
        <v>7990</v>
      </c>
    </row>
    <row r="215" spans="2:17" ht="21.95" customHeight="1" x14ac:dyDescent="0.2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9"/>
      <c r="P215" s="9"/>
      <c r="Q215" s="9"/>
    </row>
    <row r="216" spans="2:17" ht="21.95" customHeight="1" x14ac:dyDescent="0.2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9"/>
      <c r="P216" s="9"/>
      <c r="Q216" s="9"/>
    </row>
    <row r="217" spans="2:17" ht="21.95" customHeight="1" x14ac:dyDescent="0.2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9"/>
      <c r="P217" s="9"/>
      <c r="Q217" s="9"/>
    </row>
    <row r="218" spans="2:17" ht="21.95" customHeight="1" x14ac:dyDescent="0.2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9"/>
      <c r="P218" s="9"/>
      <c r="Q218" s="9"/>
    </row>
    <row r="219" spans="2:17" ht="21.95" customHeight="1" x14ac:dyDescent="0.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9"/>
      <c r="P219" s="9"/>
      <c r="Q219" s="9"/>
    </row>
    <row r="220" spans="2:17" ht="21.95" customHeight="1" x14ac:dyDescent="0.2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9"/>
      <c r="P220" s="9"/>
      <c r="Q220" s="9"/>
    </row>
    <row r="221" spans="2:17" ht="21.95" customHeight="1" x14ac:dyDescent="0.2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9"/>
      <c r="P221" s="9"/>
      <c r="Q221" s="9"/>
    </row>
    <row r="222" spans="2:17" ht="21.95" customHeight="1" x14ac:dyDescent="0.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9"/>
      <c r="P222" s="9"/>
      <c r="Q222" s="9"/>
    </row>
    <row r="223" spans="2:17" ht="21.95" customHeight="1" x14ac:dyDescent="0.2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9"/>
      <c r="P223" s="9"/>
      <c r="Q223" s="9"/>
    </row>
    <row r="224" spans="2:17" ht="21.95" customHeight="1" x14ac:dyDescent="0.2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9"/>
      <c r="P224" s="9"/>
      <c r="Q224" s="9"/>
    </row>
    <row r="225" spans="2:17" ht="21.95" customHeight="1" x14ac:dyDescent="0.2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9"/>
      <c r="P225" s="9"/>
      <c r="Q225" s="9"/>
    </row>
    <row r="226" spans="2:17" ht="21.95" customHeight="1" x14ac:dyDescent="0.2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9"/>
      <c r="P226" s="9"/>
      <c r="Q226" s="9"/>
    </row>
    <row r="227" spans="2:17" ht="21.95" hidden="1" customHeight="1" x14ac:dyDescent="0.2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9"/>
      <c r="P227" s="9"/>
      <c r="Q227" s="9" t="str">
        <f t="shared" ref="Q227:Q229" si="0">IF(COUNT(O227:P227)=2,O227*10+P227,"")</f>
        <v/>
      </c>
    </row>
    <row r="228" spans="2:17" ht="21.95" hidden="1" customHeight="1" x14ac:dyDescent="0.2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9"/>
      <c r="P228" s="9"/>
      <c r="Q228" s="9" t="str">
        <f t="shared" si="0"/>
        <v/>
      </c>
    </row>
    <row r="229" spans="2:17" ht="21.95" hidden="1" customHeight="1" x14ac:dyDescent="0.2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9"/>
      <c r="P229" s="9"/>
      <c r="Q229" s="9" t="str">
        <f t="shared" si="0"/>
        <v/>
      </c>
    </row>
    <row r="230" spans="2:17" x14ac:dyDescent="0.2">
      <c r="B230" s="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7" x14ac:dyDescent="0.2">
      <c r="B231" s="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7" x14ac:dyDescent="0.2">
      <c r="B232" s="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7" x14ac:dyDescent="0.2">
      <c r="B233" s="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7" x14ac:dyDescent="0.2">
      <c r="B234" s="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7" x14ac:dyDescent="0.2">
      <c r="B235" s="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7" x14ac:dyDescent="0.2">
      <c r="B236" s="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7" x14ac:dyDescent="0.2">
      <c r="B237" s="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7" x14ac:dyDescent="0.2">
      <c r="B238" s="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7" x14ac:dyDescent="0.2">
      <c r="B239" s="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7" x14ac:dyDescent="0.2">
      <c r="B240" s="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">
      <c r="B241" s="8"/>
      <c r="C241" s="4"/>
      <c r="D241" s="4"/>
      <c r="E241" s="4"/>
      <c r="F241" s="4"/>
      <c r="G241" s="4"/>
      <c r="H241" s="4"/>
      <c r="I241" s="4"/>
      <c r="J241" s="7"/>
      <c r="K241" s="4"/>
      <c r="L241" s="4"/>
      <c r="M241" s="4"/>
      <c r="N241" s="4"/>
    </row>
    <row r="242" spans="2:14" x14ac:dyDescent="0.2">
      <c r="B242" s="8"/>
      <c r="C242" s="4"/>
      <c r="D242" s="4"/>
      <c r="E242" s="4"/>
      <c r="F242" s="4"/>
      <c r="G242" s="4"/>
      <c r="H242" s="4"/>
      <c r="I242" s="4"/>
      <c r="J242" s="7"/>
      <c r="K242" s="4"/>
      <c r="L242" s="4"/>
      <c r="M242" s="4"/>
      <c r="N242" s="4"/>
    </row>
    <row r="243" spans="2:14" x14ac:dyDescent="0.2">
      <c r="B243" s="8"/>
      <c r="C243" s="4"/>
      <c r="D243" s="4"/>
      <c r="E243" s="4"/>
      <c r="F243" s="4"/>
      <c r="G243" s="4"/>
      <c r="H243" s="4"/>
      <c r="I243" s="4"/>
      <c r="J243" s="7"/>
      <c r="K243" s="4"/>
      <c r="L243" s="4"/>
      <c r="M243" s="4"/>
      <c r="N243" s="4"/>
    </row>
  </sheetData>
  <mergeCells count="3">
    <mergeCell ref="B2:N3"/>
    <mergeCell ref="O2:Q2"/>
    <mergeCell ref="O3:Q3"/>
  </mergeCells>
  <dataValidations count="4">
    <dataValidation type="list" sqref="C158:C159 C178:D178 C170:D170 D179:D243 D41:D177 D6:D40" xr:uid="{00000000-0002-0000-0000-000000000000}">
      <formula1>"Elétrico,Água,Fogo,Planta,Angelical,Escuridão,Dragão"</formula1>
    </dataValidation>
    <dataValidation type="list" sqref="G41:G243 G6:G40" xr:uid="{00000000-0002-0000-0000-000001000000}">
      <formula1>"Básico,Evolução 1,Evolução 2"</formula1>
    </dataValidation>
    <dataValidation type="list" sqref="H41:H243 H6:H40" xr:uid="{00000000-0002-0000-0000-000002000000}">
      <formula1>"Sim (©),Não"</formula1>
    </dataValidation>
    <dataValidation type="list" sqref="E41:E243 E6:E40" xr:uid="{00000000-0002-0000-0000-000003000000}">
      <formula1>"Comum,Raro,Épico,Lendário"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Henrique Goulart Ferreira</cp:lastModifiedBy>
  <dcterms:modified xsi:type="dcterms:W3CDTF">2026-10-20T13:33:01Z</dcterms:modified>
</cp:coreProperties>
</file>